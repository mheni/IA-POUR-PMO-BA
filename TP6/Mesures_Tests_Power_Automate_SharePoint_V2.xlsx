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Mesure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Comparaison" sheetId="4" state="visible" r:id="rId4"/>
    <sheet xmlns:r="http://schemas.openxmlformats.org/officeDocument/2006/relationships" name="Donnees" sheetId="5" state="visible" r:id="rId5"/>
    <sheet xmlns:r="http://schemas.openxmlformats.org/officeDocument/2006/relationships" name="Docu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</cols>
  <sheetData>
    <row r="1">
      <c r="A1" s="1" t="inlineStr">
        <is>
          <t>Version</t>
        </is>
      </c>
      <c r="B1" s="1" t="inlineStr">
        <is>
          <t>V2 — site/documents intégrés, douze tests</t>
        </is>
      </c>
    </row>
    <row r="2">
      <c r="A2" s="2" t="inlineStr">
        <is>
          <t>Commun</t>
        </is>
      </c>
      <c r="B2" s="2" t="inlineStr">
        <is>
          <t>Site/bibliothèque/documents/listes préparés une fois, imputés identiquement pour coût complet</t>
        </is>
      </c>
    </row>
    <row r="3">
      <c r="A3" s="2" t="inlineStr">
        <is>
          <t>Direct</t>
        </is>
      </c>
      <c r="B3" s="2" t="inlineStr">
        <is>
          <t>Temps propres A/B ; saisir zéro si réellement zéro, pas si non exécuté</t>
        </is>
      </c>
    </row>
    <row r="4">
      <c r="A4" s="2" t="inlineStr">
        <is>
          <t>Non exécuté</t>
        </is>
      </c>
      <c r="B4" s="2" t="inlineStr">
        <is>
          <t>Pas de ratio de gain ; pas de succès inventé</t>
        </is>
      </c>
    </row>
    <row r="5">
      <c r="A5" s="2" t="inlineStr">
        <is>
          <t>Plan</t>
        </is>
      </c>
      <c r="B5" s="2" t="inlineStr">
        <is>
          <t>Le planning de documents projet est un autre classeur</t>
        </is>
      </c>
    </row>
    <row r="6">
      <c r="A6" s="2" t="inlineStr">
        <is>
          <t>ZIP</t>
        </is>
      </c>
      <c r="B6" s="2" t="inlineStr">
        <is>
          <t>Archive de supports, pas un package Power Automate importable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  <col width="16" customWidth="1" min="7" max="7"/>
  </cols>
  <sheetData>
    <row r="1">
      <c r="A1" s="1" t="inlineStr">
        <is>
          <t>Phase</t>
        </is>
      </c>
      <c r="B1" s="1" t="inlineStr">
        <is>
          <t>Commun min</t>
        </is>
      </c>
      <c r="C1" s="1" t="inlineStr">
        <is>
          <t>Direct A min</t>
        </is>
      </c>
      <c r="D1" s="1" t="inlineStr">
        <is>
          <t>Direct B min</t>
        </is>
      </c>
      <c r="E1" s="1" t="inlineStr">
        <is>
          <t>Comparable A min</t>
        </is>
      </c>
      <c r="F1" s="1" t="inlineStr">
        <is>
          <t>Comparable B min</t>
        </is>
      </c>
      <c r="G1" s="1" t="inlineStr">
        <is>
          <t>Preuve</t>
        </is>
      </c>
    </row>
    <row r="2">
      <c r="A2" s="2" t="inlineStr">
        <is>
          <t>Site, documents et données</t>
        </is>
      </c>
      <c r="B2" s="2" t="n"/>
      <c r="C2" s="2" t="n"/>
      <c r="D2" s="2" t="n"/>
      <c r="E2" s="2">
        <f>IF(C2="","",N(B2)+C2)</f>
        <v/>
      </c>
      <c r="F2" s="2">
        <f>IF(D2="","",N(B2)+D2)</f>
        <v/>
      </c>
      <c r="G2" s="2" t="n"/>
    </row>
    <row r="3">
      <c r="A3" s="2" t="inlineStr">
        <is>
          <t>Construction flow</t>
        </is>
      </c>
      <c r="B3" s="2" t="n"/>
      <c r="C3" s="2" t="n"/>
      <c r="D3" s="2" t="n"/>
      <c r="E3" s="2">
        <f>IF(C3="","",N(B3)+C3)</f>
        <v/>
      </c>
      <c r="F3" s="2">
        <f>IF(D3="","",N(B3)+D3)</f>
        <v/>
      </c>
      <c r="G3" s="2" t="n"/>
    </row>
    <row r="4">
      <c r="A4" s="2" t="inlineStr">
        <is>
          <t>Connexions</t>
        </is>
      </c>
      <c r="B4" s="2" t="n"/>
      <c r="C4" s="2" t="n"/>
      <c r="D4" s="2" t="n"/>
      <c r="E4" s="2">
        <f>IF(C4="","",N(B4)+C4)</f>
        <v/>
      </c>
      <c r="F4" s="2">
        <f>IF(D4="","",N(B4)+D4)</f>
        <v/>
      </c>
      <c r="G4" s="2" t="n"/>
    </row>
    <row r="5">
      <c r="A5" s="2" t="inlineStr">
        <is>
          <t>Corrections</t>
        </is>
      </c>
      <c r="B5" s="2" t="n"/>
      <c r="C5" s="2" t="n"/>
      <c r="D5" s="2" t="n"/>
      <c r="E5" s="2">
        <f>IF(C5="","",N(B5)+C5)</f>
        <v/>
      </c>
      <c r="F5" s="2">
        <f>IF(D5="","",N(B5)+D5)</f>
        <v/>
      </c>
      <c r="G5" s="2" t="n"/>
    </row>
    <row r="6">
      <c r="A6" s="2" t="inlineStr">
        <is>
          <t>Tests actifs</t>
        </is>
      </c>
      <c r="B6" s="2" t="n"/>
      <c r="C6" s="2" t="n"/>
      <c r="D6" s="2" t="n"/>
      <c r="E6" s="2">
        <f>IF(C6="","",N(B6)+C6)</f>
        <v/>
      </c>
      <c r="F6" s="2">
        <f>IF(D6="","",N(B6)+D6)</f>
        <v/>
      </c>
      <c r="G6" s="2" t="n"/>
    </row>
    <row r="7">
      <c r="A7" s="2" t="inlineStr">
        <is>
          <t>Validation humaine active</t>
        </is>
      </c>
      <c r="B7" s="2" t="n"/>
      <c r="C7" s="2" t="n"/>
      <c r="D7" s="2" t="n"/>
      <c r="E7" s="2">
        <f>IF(C7="","",N(B7)+C7)</f>
        <v/>
      </c>
      <c r="F7" s="2">
        <f>IF(D7="","",N(B7)+D7)</f>
        <v/>
      </c>
      <c r="G7" s="2" t="n"/>
    </row>
    <row r="8">
      <c r="A8" s="2" t="inlineStr">
        <is>
          <t>Attente externe</t>
        </is>
      </c>
      <c r="B8" s="2" t="n"/>
      <c r="C8" s="2" t="n"/>
      <c r="D8" s="2" t="n"/>
      <c r="E8" s="2">
        <f>IF(C8="","",N(B8)+C8)</f>
        <v/>
      </c>
      <c r="F8" s="2">
        <f>IF(D8="","",N(B8)+D8)</f>
        <v/>
      </c>
      <c r="G8" s="2" t="n"/>
    </row>
    <row r="9">
      <c r="A9" s="2" t="inlineStr">
        <is>
          <t>TOTAL</t>
        </is>
      </c>
      <c r="B9" s="2" t="n"/>
      <c r="C9" s="2" t="n"/>
      <c r="D9" s="2" t="n"/>
      <c r="E9" s="2">
        <f>IF(COUNT(E2:E8)&lt;7,"",SUM(E2:E8))</f>
        <v/>
      </c>
      <c r="F9" s="2">
        <f>IF(COUNT(F2:F8)&lt;7,"",SUM(F2:F8))</f>
        <v/>
      </c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Gain min</t>
        </is>
      </c>
      <c r="B12" s="2" t="n"/>
      <c r="C12" s="2" t="n"/>
      <c r="D12" s="2" t="n"/>
      <c r="E12" s="2">
        <f>IF(OR(E9="",F9=""),"",E9-F9)</f>
        <v/>
      </c>
      <c r="F12" s="2" t="n"/>
      <c r="G12" s="2" t="n"/>
    </row>
    <row r="13">
      <c r="A13" s="2" t="inlineStr">
        <is>
          <t>Réduction %</t>
        </is>
      </c>
      <c r="B13" s="2" t="n"/>
      <c r="C13" s="2" t="n"/>
      <c r="D13" s="2" t="n"/>
      <c r="E13" s="3">
        <f>IF(OR(E9="",F9="",E9&lt;=0),"",(E9-F9)/E9)</f>
        <v/>
      </c>
      <c r="F13" s="2" t="n"/>
      <c r="G13" s="2" t="n"/>
    </row>
    <row r="14">
      <c r="A14" s="2" t="inlineStr">
        <is>
          <t>Facteur A/B</t>
        </is>
      </c>
      <c r="B14" s="2" t="n"/>
      <c r="C14" s="2" t="n"/>
      <c r="D14" s="2" t="n"/>
      <c r="E14" s="4">
        <f>IF(OR(E9="",F9="",E9&lt;=0,F9&lt;=0),"",E9/F9)</f>
        <v/>
      </c>
      <c r="F14" s="2" t="n"/>
      <c r="G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7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Test</t>
        </is>
      </c>
      <c r="B1" s="1" t="inlineStr">
        <is>
          <t>Données</t>
        </is>
      </c>
      <c r="C1" s="1" t="inlineStr">
        <is>
          <t>Attendu</t>
        </is>
      </c>
      <c r="D1" s="1" t="inlineStr">
        <is>
          <t>Verdict A</t>
        </is>
      </c>
      <c r="E1" s="1" t="inlineStr">
        <is>
          <t>Verdict B</t>
        </is>
      </c>
      <c r="F1" s="1" t="inlineStr">
        <is>
          <t>Observation A</t>
        </is>
      </c>
      <c r="G1" s="1" t="inlineStr">
        <is>
          <t>Observation B</t>
        </is>
      </c>
      <c r="H1" s="1" t="inlineStr">
        <is>
          <t>Run ID A</t>
        </is>
      </c>
      <c r="I1" s="1" t="inlineStr">
        <is>
          <t>Run ID B</t>
        </is>
      </c>
    </row>
    <row r="2">
      <c r="A2" s="2" t="inlineStr">
        <is>
          <t>T01</t>
        </is>
      </c>
      <c r="B2" s="2" t="inlineStr">
        <is>
          <t>Approve R01</t>
        </is>
      </c>
      <c r="C2" s="2" t="inlineStr">
        <is>
          <t>1 archive HTML,1CR Teams,1 emailCR ; journalDiffuse et contrôle réception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T02</t>
        </is>
      </c>
      <c r="B3" s="2" t="inlineStr">
        <is>
          <t>Même clé relancée</t>
        </is>
      </c>
      <c r="C3" s="2" t="inlineStr">
        <is>
          <t>Aucun nouvel archivage/approval/diffusion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T03</t>
        </is>
      </c>
      <c r="B4" s="2" t="inlineStr">
        <is>
          <t>Reject nouvelle révision</t>
        </is>
      </c>
      <c r="C4" s="2" t="inlineStr">
        <is>
          <t>JournalRejete ; pas archive finale ni sends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T04</t>
        </is>
      </c>
      <c r="B5" s="2" t="inlineStr">
        <is>
          <t>ItemId inexistant</t>
        </is>
      </c>
      <c r="C5" s="2" t="inlineStr">
        <is>
          <t>ErreurSource avant archive/sends ; ERROR si journalaccessible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T05</t>
        </is>
      </c>
      <c r="B6" s="2" t="inlineStr">
        <is>
          <t>Texte &amp;/&lt;prototype&gt;</t>
        </is>
      </c>
      <c r="C6" s="2" t="inlineStr">
        <is>
          <t>Échappement/ligneslisibles puis restaurationV1</t>
        </is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T06</t>
        </is>
      </c>
      <c r="B7" s="2" t="inlineStr">
        <is>
          <t>Canal inaccessible en copie sûre</t>
        </is>
      </c>
      <c r="C7" s="2" t="inlineStr">
        <is>
          <t>Blocage paramétrage ou échec, pas mailCR ; archive peut déjàexister</t>
        </is>
      </c>
      <c r="D7" s="2" t="n"/>
      <c r="E7" s="2" t="n"/>
      <c r="F7" s="2" t="n"/>
      <c r="G7" s="2" t="n"/>
      <c r="H7" s="2" t="n"/>
      <c r="I7" s="2" t="n"/>
    </row>
    <row r="8">
      <c r="A8" s="2" t="inlineStr">
        <is>
          <t>T07</t>
        </is>
      </c>
      <c r="B8" s="2" t="inlineStr">
        <is>
          <t>Adresse invalide en copie</t>
        </is>
      </c>
      <c r="C8" s="2" t="inlineStr">
        <is>
          <t>Blocage ou échec ; vérifier si Teams déjà publié</t>
        </is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T08</t>
        </is>
      </c>
      <c r="B9" s="2" t="inlineStr">
        <is>
          <t>Connexion/policy problème</t>
        </is>
      </c>
      <c r="C9" s="2" t="inlineStr">
        <is>
          <t>Diagnostic sans contournement</t>
        </is>
      </c>
      <c r="D9" s="2" t="n"/>
      <c r="E9" s="2" t="n"/>
      <c r="F9" s="2" t="n"/>
      <c r="G9" s="2" t="n"/>
      <c r="H9" s="2" t="n"/>
      <c r="I9" s="2" t="n"/>
    </row>
    <row r="10">
      <c r="A10" s="2" t="inlineStr">
        <is>
          <t>T09</t>
        </is>
      </c>
      <c r="B10" s="2" t="inlineStr">
        <is>
          <t>Liens avec destinataireautorisé</t>
        </is>
      </c>
      <c r="C10" s="2" t="inlineStr">
        <is>
          <t>Charte/CDC/plan correspondants, accès réel</t>
        </is>
      </c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T10</t>
        </is>
      </c>
      <c r="B11" s="2" t="inlineStr">
        <is>
          <t>Approuvé puis même clé</t>
        </is>
      </c>
      <c r="C11" s="2" t="inlineStr">
        <is>
          <t>Un fichier par clé et pas deuxième send</t>
        </is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T11</t>
        </is>
      </c>
      <c r="B12" s="2" t="inlineStr">
        <is>
          <t>Révision rejetée</t>
        </is>
      </c>
      <c r="C12" s="2" t="inlineStr">
        <is>
          <t>Aucun nouveau CRHTML final</t>
        </is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T12</t>
        </is>
      </c>
      <c r="B13" s="2" t="inlineStr">
        <is>
          <t>Dossier archive introuvable/absence droits simulée sûre</t>
        </is>
      </c>
      <c r="C13" s="2" t="inlineStr">
        <is>
          <t>Échec avant diffusion ou blocageconception ; traceerreur, pas fauxsuccès</t>
        </is>
      </c>
      <c r="D13" s="2" t="n"/>
      <c r="E13" s="2" t="n"/>
      <c r="F13" s="2" t="n"/>
      <c r="G13" s="2" t="n"/>
      <c r="H13" s="2" t="n"/>
      <c r="I13" s="2" t="n"/>
    </row>
  </sheetData>
  <dataValidations count="1">
    <dataValidation sqref="D2:E13" showDropDown="0" showInputMessage="0" showErrorMessage="0" allowBlank="0" type="list">
      <formula1>"Réussi,Échoué,Non exécuté"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6" customWidth="1" min="4" max="4"/>
  </cols>
  <sheetData>
    <row r="1">
      <c r="A1" s="1" t="inlineStr">
        <is>
          <t>Indicateur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Réserve/preuve</t>
        </is>
      </c>
    </row>
    <row r="2">
      <c r="A2" s="2" t="inlineStr">
        <is>
          <t>Corrections</t>
        </is>
      </c>
      <c r="B2" s="2" t="n"/>
      <c r="C2" s="2" t="n"/>
      <c r="D2" s="2" t="n"/>
    </row>
    <row r="3">
      <c r="A3" s="2" t="inlineStr">
        <is>
          <t>Tests réussis</t>
        </is>
      </c>
      <c r="B3" s="2">
        <f>COUNTIF(Tests!D2:D13,"Réussi")</f>
        <v/>
      </c>
      <c r="C3" s="2">
        <f>COUNTIF(Tests!E2:E13,"Réussi")</f>
        <v/>
      </c>
      <c r="D3" s="2" t="n"/>
    </row>
    <row r="4">
      <c r="A4" s="2" t="inlineStr">
        <is>
          <t>Tests exécutés</t>
        </is>
      </c>
      <c r="B4" s="2">
        <f>COUNTIF(Tests!D2:D13,"Réussi")+COUNTIF(Tests!D2:D13,"Échoué")</f>
        <v/>
      </c>
      <c r="C4" s="2">
        <f>COUNTIF(Tests!E2:E13,"Réussi")+COUNTIF(Tests!E2:E13,"Échoué")</f>
        <v/>
      </c>
      <c r="D4" s="2" t="n"/>
    </row>
    <row r="5">
      <c r="A5" s="2" t="inlineStr">
        <is>
          <t>Taux</t>
        </is>
      </c>
      <c r="B5" s="3">
        <f>IF(B4=0,"",B3/B4)</f>
        <v/>
      </c>
      <c r="C5" s="3">
        <f>IF(C4=0,"",C3/C4)</f>
        <v/>
      </c>
      <c r="D5" s="2" t="n"/>
    </row>
    <row r="6">
      <c r="A6" s="2" t="inlineStr">
        <is>
          <t>Qualité /20</t>
        </is>
      </c>
      <c r="B6" s="2" t="n"/>
      <c r="C6" s="2" t="n"/>
      <c r="D6" s="2" t="n"/>
    </row>
    <row r="7">
      <c r="A7" s="2" t="inlineStr">
        <is>
          <t>Copilot disponible</t>
        </is>
      </c>
      <c r="B7" s="2" t="n"/>
      <c r="C7" s="2" t="n"/>
      <c r="D7" s="2" t="n"/>
    </row>
    <row r="8">
      <c r="A8" s="2" t="inlineStr">
        <is>
          <t>Site créé/préprovisionné</t>
        </is>
      </c>
      <c r="B8" s="2" t="n"/>
      <c r="C8" s="2" t="n"/>
      <c r="D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8" customWidth="1" min="3" max="3"/>
  </cols>
  <sheetData>
    <row r="1">
      <c r="A1" s="1" t="inlineStr">
        <is>
          <t>Colonne</t>
        </is>
      </c>
      <c r="B1" s="1" t="inlineStr">
        <is>
          <t>Type</t>
        </is>
      </c>
      <c r="C1" s="1" t="inlineStr">
        <is>
          <t>Valeur</t>
        </is>
      </c>
    </row>
    <row r="2">
      <c r="A2" s="2" t="inlineStr">
        <is>
          <t>Title</t>
        </is>
      </c>
      <c r="B2" s="2" t="inlineStr">
        <is>
          <t>Une ligne de texte</t>
        </is>
      </c>
      <c r="C2" s="2" t="inlineStr">
        <is>
          <t>Modernisation du système d’information</t>
        </is>
      </c>
    </row>
    <row r="3">
      <c r="A3" s="2" t="inlineStr">
        <is>
          <t>ProjectRef</t>
        </is>
      </c>
      <c r="B3" s="2" t="inlineStr">
        <is>
          <t>Une ligne de texte</t>
        </is>
      </c>
      <c r="C3" s="2" t="inlineStr">
        <is>
          <t>PRJ-2026-017</t>
        </is>
      </c>
    </row>
    <row r="4">
      <c r="A4" s="2" t="inlineStr">
        <is>
          <t>ProjectManager</t>
        </is>
      </c>
      <c r="B4" s="2" t="inlineStr">
        <is>
          <t>Une ligne de texte</t>
        </is>
      </c>
      <c r="C4" s="2" t="inlineStr">
        <is>
          <t>Alexandra Rey</t>
        </is>
      </c>
    </row>
    <row r="5">
      <c r="A5" s="2" t="inlineStr">
        <is>
          <t>Sponsor</t>
        </is>
      </c>
      <c r="B5" s="2" t="inlineStr">
        <is>
          <t>Une ligne de texte</t>
        </is>
      </c>
      <c r="C5" s="2" t="inlineStr">
        <is>
          <t>Directeur des systèmes d’information</t>
        </is>
      </c>
    </row>
    <row r="6">
      <c r="A6" s="2" t="inlineStr">
        <is>
          <t>Status</t>
        </is>
      </c>
      <c r="B6" s="2" t="inlineStr">
        <is>
          <t>Une ligne de texte</t>
        </is>
      </c>
      <c r="C6" s="2" t="inlineStr">
        <is>
          <t>Orange</t>
        </is>
      </c>
    </row>
    <row r="7">
      <c r="A7" s="2" t="inlineStr">
        <is>
          <t>Progress</t>
        </is>
      </c>
      <c r="B7" s="2" t="inlineStr">
        <is>
          <t>Nombre (0–100, entier)</t>
        </is>
      </c>
      <c r="C7" s="2" t="inlineStr">
        <is>
          <t>65</t>
        </is>
      </c>
    </row>
    <row r="8">
      <c r="A8" s="2" t="inlineStr">
        <is>
          <t>BudgetUsed</t>
        </is>
      </c>
      <c r="B8" s="2" t="inlineStr">
        <is>
          <t>Nombre (0–100, entier)</t>
        </is>
      </c>
      <c r="C8" s="2" t="inlineStr">
        <is>
          <t>72</t>
        </is>
      </c>
    </row>
    <row r="9">
      <c r="A9" s="2" t="inlineStr">
        <is>
          <t>NextDeliverable</t>
        </is>
      </c>
      <c r="B9" s="2" t="inlineStr">
        <is>
          <t>Une ligne de texte</t>
        </is>
      </c>
      <c r="C9" s="2" t="inlineStr">
        <is>
          <t>Livraison du prototype</t>
        </is>
      </c>
    </row>
    <row r="10">
      <c r="A10" s="2" t="inlineStr">
        <is>
          <t>Deadline</t>
        </is>
      </c>
      <c r="B10" s="2" t="inlineStr">
        <is>
          <t>Une ligne de texte</t>
        </is>
      </c>
      <c r="C10" s="2" t="inlineStr">
        <is>
          <t>2026-10-23</t>
        </is>
      </c>
    </row>
    <row r="11">
      <c r="A11" s="2" t="inlineStr">
        <is>
          <t>MainRisk</t>
        </is>
      </c>
      <c r="B11" s="2" t="inlineStr">
        <is>
          <t>Plusieurs lignes de texte brut</t>
        </is>
      </c>
      <c r="C11" s="2" t="inlineStr">
        <is>
          <t>Retard de livraison lié à une dépendance fournisseur</t>
        </is>
      </c>
    </row>
    <row r="12">
      <c r="A12" s="2" t="inlineStr">
        <is>
          <t>Impact</t>
        </is>
      </c>
      <c r="B12" s="2" t="inlineStr">
        <is>
          <t>Une ligne de texte</t>
        </is>
      </c>
      <c r="C12" s="2" t="inlineStr">
        <is>
          <t>Élevé</t>
        </is>
      </c>
    </row>
    <row r="13">
      <c r="A13" s="2" t="inlineStr">
        <is>
          <t>ProposedAction</t>
        </is>
      </c>
      <c r="B13" s="2" t="inlineStr">
        <is>
          <t>Plusieurs lignes de texte brut</t>
        </is>
      </c>
      <c r="C13" s="2" t="inlineStr">
        <is>
          <t>Réunion d’escalade avec le fournisseur</t>
        </is>
      </c>
    </row>
    <row r="14">
      <c r="A14" s="2" t="inlineStr">
        <is>
          <t>ExpectedDecision</t>
        </is>
      </c>
      <c r="B14" s="2" t="inlineStr">
        <is>
          <t>Plusieurs lignes de texte brut</t>
        </is>
      </c>
      <c r="C14" s="2" t="inlineStr">
        <is>
          <t>Arbitrage sur le renforcement temporaire de l’équipe</t>
        </is>
      </c>
    </row>
    <row r="15">
      <c r="A15" s="2" t="inlineStr">
        <is>
          <t>NextMeeting</t>
        </is>
      </c>
      <c r="B15" s="2" t="inlineStr">
        <is>
          <t>Une ligne de texte</t>
        </is>
      </c>
      <c r="C15" s="2" t="inlineStr">
        <is>
          <t>Comité de pilotage de la semaine suivante — date précise à confirmer</t>
        </is>
      </c>
    </row>
    <row r="16">
      <c r="A16" s="2" t="inlineStr">
        <is>
          <t>Highlights</t>
        </is>
      </c>
      <c r="B16" s="2" t="inlineStr">
        <is>
          <t>Plusieurs lignes de texte brut</t>
        </is>
      </c>
      <c r="C16" s="2" t="inlineStr">
        <is>
          <t>Cadrage validé ; développement du prototype en cours ; confirmation fournisseur attendue.</t>
        </is>
      </c>
    </row>
    <row r="17">
      <c r="A17" s="2" t="inlineStr">
        <is>
          <t>DataOwner</t>
        </is>
      </c>
      <c r="B17" s="2" t="inlineStr">
        <is>
          <t>Une ligne de texte</t>
        </is>
      </c>
      <c r="C17" s="2" t="inlineStr">
        <is>
          <t>PMO de formation</t>
        </is>
      </c>
    </row>
    <row r="18">
      <c r="A18" s="2" t="inlineStr">
        <is>
          <t>DataVersion</t>
        </is>
      </c>
      <c r="B18" s="2" t="inlineStr">
        <is>
          <t>Une ligne de texte</t>
        </is>
      </c>
      <c r="C18" s="2" t="inlineStr">
        <is>
          <t>V1</t>
        </is>
      </c>
    </row>
    <row r="19">
      <c r="A19" s="2" t="inlineStr">
        <is>
          <t>CharterUrl</t>
        </is>
      </c>
      <c r="B19" s="2" t="inlineStr">
        <is>
          <t>Plusieurs lignes de texte brut</t>
        </is>
      </c>
      <c r="C19" s="2" t="inlineStr">
        <is>
          <t>À remplacer par URL réelle copiée S7</t>
        </is>
      </c>
    </row>
    <row r="20">
      <c r="A20" s="2" t="inlineStr">
        <is>
          <t>RequirementsUrl</t>
        </is>
      </c>
      <c r="B20" s="2" t="inlineStr">
        <is>
          <t>Plusieurs lignes de texte brut</t>
        </is>
      </c>
      <c r="C20" s="2" t="inlineStr">
        <is>
          <t>À remplacer par URL réelle copiée S7</t>
        </is>
      </c>
    </row>
    <row r="21">
      <c r="A21" s="2" t="inlineStr">
        <is>
          <t>PlanUrl</t>
        </is>
      </c>
      <c r="B21" s="2" t="inlineStr">
        <is>
          <t>Plusieurs lignes de texte brut</t>
        </is>
      </c>
      <c r="C21" s="2" t="inlineStr">
        <is>
          <t>À remplacer par URL réelle du .mpp ou .xlsx, S7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21" customWidth="1" min="3" max="3"/>
    <col width="34" customWidth="1" min="4" max="4"/>
  </cols>
  <sheetData>
    <row r="1">
      <c r="A1" s="1" t="inlineStr">
        <is>
          <t>Document</t>
        </is>
      </c>
      <c r="B1" s="1" t="inlineStr">
        <is>
          <t>Dossier cible</t>
        </is>
      </c>
      <c r="C1" s="1" t="inlineStr">
        <is>
          <t>Lien réel à relever</t>
        </is>
      </c>
      <c r="D1" s="1" t="inlineStr">
        <is>
          <t>Contrôle</t>
        </is>
      </c>
    </row>
    <row r="2">
      <c r="A2" s="2" t="inlineStr">
        <is>
          <t>Charte_Projet_PRJ_2026_017.docx</t>
        </is>
      </c>
      <c r="B2" s="2" t="inlineStr">
        <is>
          <t>01_Cadrage</t>
        </is>
      </c>
      <c r="C2" s="2" t="n"/>
      <c r="D2" s="2" t="inlineStr">
        <is>
          <t>À vérifier avec lecteur autorisé</t>
        </is>
      </c>
    </row>
    <row r="3">
      <c r="A3" s="2" t="inlineStr">
        <is>
          <t>Cahier_Charges_PRJ_2026_017.docx</t>
        </is>
      </c>
      <c r="B3" s="2" t="inlineStr">
        <is>
          <t>02_Exigences</t>
        </is>
      </c>
      <c r="C3" s="2" t="n"/>
      <c r="D3" s="2" t="inlineStr">
        <is>
          <t>À vérifier avec lecteur autorisé</t>
        </is>
      </c>
    </row>
    <row r="4">
      <c r="A4" s="2" t="inlineStr">
        <is>
          <t>Plan_Projet_PRJ_2026_017.xlsx ou .mpp vrai</t>
        </is>
      </c>
      <c r="B4" s="2" t="inlineStr">
        <is>
          <t>03_Planning</t>
        </is>
      </c>
      <c r="C4" s="2" t="n"/>
      <c r="D4" s="2" t="inlineStr">
        <is>
          <t>À vérifier avec lecteur autorisé</t>
        </is>
      </c>
    </row>
    <row r="5">
      <c r="A5" s="2" t="inlineStr">
        <is>
          <t>CR_A...html / CR_B...html</t>
        </is>
      </c>
      <c r="B5" s="2" t="inlineStr">
        <is>
          <t>04_COPIL</t>
        </is>
      </c>
      <c r="C5" s="2" t="n"/>
      <c r="D5" s="2" t="inlineStr">
        <is>
          <t>À vérifier avec lecteur autorisé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2026-10-11T15:46:08Z</dcterms:created>
  <dcterms:modified xmlns:dcterms="http://purl.org/dc/terms/" xmlns:xsi="http://www.w3.org/2001/XMLSchema-instance" xsi:type="dcterms:W3CDTF">2026-10-11T15:46:08Z</dcterms:modified>
</cp:coreProperties>
</file>