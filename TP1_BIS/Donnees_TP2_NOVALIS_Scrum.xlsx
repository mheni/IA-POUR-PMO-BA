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nim\Downloads\"/>
    </mc:Choice>
  </mc:AlternateContent>
  <xr:revisionPtr revIDLastSave="0" documentId="13_ncr:1_{05904177-C535-4AFD-AA19-A7B40F7A723B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Lire_avant" sheetId="1" r:id="rId1"/>
    <sheet name="Produit" sheetId="2" r:id="rId2"/>
    <sheet name="Personnes" sheetId="3" r:id="rId3"/>
    <sheet name="Backlog_initial" sheetId="4" r:id="rId4"/>
    <sheet name="US13_urgence" sheetId="5" r:id="rId5"/>
    <sheet name="Ventes_fictives" sheetId="6" r:id="rId6"/>
    <sheet name="Resultats_BI" sheetId="7" r:id="rId7"/>
    <sheet name="Sprints" sheetId="8" r:id="rId8"/>
    <sheet name="Capacite" sheetId="9" r:id="rId9"/>
    <sheet name="Suivi_S1" sheetId="10" r:id="rId10"/>
    <sheet name="Bilan_final" sheetId="11" r:id="rId11"/>
    <sheet name="Review" sheetId="12" r:id="rId12"/>
    <sheet name="Retrospective" sheetId="13" r:id="rId13"/>
    <sheet name="Synthese_corrige" sheetId="14" r:id="rId14"/>
    <sheet name="Sources" sheetId="15" r:id="rId15"/>
  </sheets>
  <definedNames>
    <definedName name="_xlnm._FilterDatabase" localSheetId="3" hidden="1">Backlog_initial!$A$1:$L$13</definedName>
    <definedName name="_xlnm._FilterDatabase" localSheetId="10" hidden="1">Bilan_final!$A$1:$F$14</definedName>
    <definedName name="_xlnm._FilterDatabase" localSheetId="8" hidden="1">Capacite!$A$1:$G$5</definedName>
    <definedName name="_xlnm._FilterDatabase" localSheetId="0" hidden="1">Lire_avant!$A$1:$B$11</definedName>
    <definedName name="_xlnm._FilterDatabase" localSheetId="2" hidden="1">Personnes!$A$1:$C$8</definedName>
    <definedName name="_xlnm._FilterDatabase" localSheetId="1" hidden="1">Produit!$A$1:$B$9</definedName>
    <definedName name="_xlnm._FilterDatabase" localSheetId="6" hidden="1">Resultats_BI!$A$1:$E$4</definedName>
    <definedName name="_xlnm._FilterDatabase" localSheetId="12" hidden="1">Retrospective!$A$1:$D$4</definedName>
    <definedName name="_xlnm._FilterDatabase" localSheetId="11" hidden="1">Review!$A$1:$E$6</definedName>
    <definedName name="_xlnm._FilterDatabase" localSheetId="14" hidden="1">Sources!$A$1:$B$10</definedName>
    <definedName name="_xlnm._FilterDatabase" localSheetId="7" hidden="1">Sprints!$A$1:$L$4</definedName>
    <definedName name="_xlnm._FilterDatabase" localSheetId="9" hidden="1">Suivi_S1!$A$1:$H$12</definedName>
    <definedName name="_xlnm._FilterDatabase" localSheetId="13" hidden="1">Synthese_corrige!$A$1:$F$4</definedName>
    <definedName name="_xlnm._FilterDatabase" localSheetId="4" hidden="1">US13_urgence!$A$1:$I$2</definedName>
    <definedName name="_xlnm._FilterDatabase" localSheetId="5" hidden="1">Ventes_fictives!$A$1:$I$25</definedName>
  </definedNames>
  <calcPr calcId="0"/>
</workbook>
</file>

<file path=xl/sharedStrings.xml><?xml version="1.0" encoding="utf-8"?>
<sst xmlns="http://schemas.openxmlformats.org/spreadsheetml/2006/main" count="554" uniqueCount="338">
  <si>
    <t>Rubrique</t>
  </si>
  <si>
    <t>Instruction</t>
  </si>
  <si>
    <t>Nature</t>
  </si>
  <si>
    <t>Données entièrement fictives et pédagogiques ; pas de connexion Project</t>
  </si>
  <si>
    <t>Usage</t>
  </si>
  <si>
    <t>Copier les champs du backlog vers Project ; critères dans Notes ; pas les ventes transactionnelles</t>
  </si>
  <si>
    <t>Backlog_initial</t>
  </si>
  <si>
    <t>12 stories, 47 points ; aucune affectation obligatoire future</t>
  </si>
  <si>
    <t>US13_urgence</t>
  </si>
  <si>
    <t>Événement J4 S1 ; hors Sprint jusqu’à sa sélection S3</t>
  </si>
  <si>
    <t>Suivi_S1</t>
  </si>
  <si>
    <t>Valeurs illustratives manuelles ; Nombre3 Project n’est pas le champ natif Travail restant</t>
  </si>
  <si>
    <t>Courbes</t>
  </si>
  <si>
    <t>Graphiques Excel du suivi fourni, pas des rapports calculés par Project</t>
  </si>
  <si>
    <t>Sprints</t>
  </si>
  <si>
    <t>Sélections réelles du scénario ; S3 initial prévisionnel remplacé après S2</t>
  </si>
  <si>
    <t>Bilan</t>
  </si>
  <si>
    <t>50 points historiques = 34 Done uniques + 16 restants</t>
  </si>
  <si>
    <t>Capacité</t>
  </si>
  <si>
    <t>Heures-personnes ; réservations et prévisions distinctes des Story Points</t>
  </si>
  <si>
    <t>Limites</t>
  </si>
  <si>
    <t>Pas de test du logiciel Project 2609 ; vérifier édition, licence et ruban avant animation</t>
  </si>
  <si>
    <t>Contenu</t>
  </si>
  <si>
    <t>Description</t>
  </si>
  <si>
    <t>Service BI interne des ventes nettes HT et de la rentabilité commerciale</t>
  </si>
  <si>
    <t>Vision</t>
  </si>
  <si>
    <t>Des décisions commerciales plus rapides à partir de chiffres partagés et explicables</t>
  </si>
  <si>
    <t>Product Goal</t>
  </si>
  <si>
    <t>Préparer la revue commerciale en moins de 15 min, de façon autonome, sans ressaisie, avec ventes, marge, écarts et chiffres réconciliés</t>
  </si>
  <si>
    <t>Périmètre</t>
  </si>
  <si>
    <t>Janvier-février 2026 ; Nord/Sud ; N1/N2/S1/S2 ; P01/P02/P03 ; C01/C02/C03 ; TND HT</t>
  </si>
  <si>
    <t>Valeur</t>
  </si>
  <si>
    <t>Réduire effort de préparation, ressaisie et ambiguïtés ; mesurer usage et confiance</t>
  </si>
  <si>
    <t>Mesure initiale fictive</t>
  </si>
  <si>
    <t>45 minutes de préparation ; hypothèse initiale à vérifier</t>
  </si>
  <si>
    <t>État après S3</t>
  </si>
  <si>
    <t>Moyenne 14 min ; valeurs 12/14/15/13/16 ; objectif strict individuel non démontré pour tous</t>
  </si>
  <si>
    <t>Attention</t>
  </si>
  <si>
    <t>Données et preuves pédagogiques ; aucun développement BI effectif dans ce TP</t>
  </si>
  <si>
    <t>Personne fictive</t>
  </si>
  <si>
    <t>Position</t>
  </si>
  <si>
    <t>Besoin ou responsabilité</t>
  </si>
  <si>
    <t>Directrice commerciale, sponsor/utilisatrice</t>
  </si>
  <si>
    <t>CA, marge, écarts et décisions</t>
  </si>
  <si>
    <t>Responsable régional Nord</t>
  </si>
  <si>
    <t>Comparaisons régions/magasins</t>
  </si>
  <si>
    <t>Analyste métier</t>
  </si>
  <si>
    <t>Produits, catégories, comptes</t>
  </si>
  <si>
    <t>Contrôleuse de gestion</t>
  </si>
  <si>
    <t>Règles et indicateurs</t>
  </si>
  <si>
    <t>Product Owner</t>
  </si>
  <si>
    <t>Valeur, Product Goal, backlog</t>
  </si>
  <si>
    <t>Scrum Master</t>
  </si>
  <si>
    <t>Scrum, efficacité, autogestion, obstacles</t>
  </si>
  <si>
    <t>Developers</t>
  </si>
  <si>
    <t>Analyse, données, restitution, tests, intégration</t>
  </si>
  <si>
    <t>ID</t>
  </si>
  <si>
    <t>Titre</t>
  </si>
  <si>
    <t>Profil</t>
  </si>
  <si>
    <t>Je veux</t>
  </si>
  <si>
    <t>Afin de</t>
  </si>
  <si>
    <t>Critères acceptation</t>
  </si>
  <si>
    <t>Ordre initial</t>
  </si>
  <si>
    <t>Points</t>
  </si>
  <si>
    <t>Contraintes</t>
  </si>
  <si>
    <t>Horizon initial</t>
  </si>
  <si>
    <t>User Story</t>
  </si>
  <si>
    <t>US01</t>
  </si>
  <si>
    <t>Consulter le CA mensuel</t>
  </si>
  <si>
    <t>directeur commercial</t>
  </si>
  <si>
    <t>consulter le chiffre d’affaires par mois</t>
  </si>
  <si>
    <t>repérer les variations de ventes</t>
  </si>
  <si>
    <t>Obtenir une première lecture partagée des ventes.</t>
  </si>
  <si>
    <t>Janvier : 40 000 TND ; février : 50 000 TND ; cumul : 90 000 TND. Le filtre janvier ne conserve que janvier. Une période sans vente affiche « Aucune vente », pas une erreur.</t>
  </si>
  <si>
    <t>Source de ventes fournie et contrôlée ; aucun autre PBI requis.</t>
  </si>
  <si>
    <t>Sprint 1</t>
  </si>
  <si>
    <t>En tant que directeur commercial, je veux consulter le chiffre d’affaires par mois, afin de repérer les variations de ventes.</t>
  </si>
  <si>
    <t>US02</t>
  </si>
  <si>
    <t>Analyser le CA par région</t>
  </si>
  <si>
    <t>responsable régional</t>
  </si>
  <si>
    <t>filtrer les ventes par région</t>
  </si>
  <si>
    <t>identifier les zones qui nécessitent une action</t>
  </si>
  <si>
    <t>Cibler les actions régionales.</t>
  </si>
  <si>
    <t>Sur janvier-février : Nord 54 000 TND, Sud 36 000 TND. Nord + janvier : 24 000 TND. Effacer le filtre rétablit 90 000 TND.</t>
  </si>
  <si>
    <t>Réutilise le socle de US01 ; réalisation conjointe possible.</t>
  </si>
  <si>
    <t>En tant que responsable régional, je veux filtrer les ventes par région, afin de identifier les zones qui nécessitent une action.</t>
  </si>
  <si>
    <t>US03</t>
  </si>
  <si>
    <t>Identifier les meilleurs produits</t>
  </si>
  <si>
    <t>analyste métier</t>
  </si>
  <si>
    <t>classer les produits par chiffre d’affaires</t>
  </si>
  <si>
    <t>préparer une recommandation d’assortiment</t>
  </si>
  <si>
    <t>Concentrer l’analyse sur les produits déterminants.</t>
  </si>
  <si>
    <t>Sur les deux mois : P01 45 000, P02 28 000, P03 17 000 TND, tri décroissant. Le filtre janvier produit 20 000, 12 000, 8 000 TND. Le classement suit les filtres.</t>
  </si>
  <si>
    <t>Même source que US01 ; le classement fait partie du premier tableau de bord.</t>
  </si>
  <si>
    <t>En tant que analyste métier, je veux classer les produits par chiffre d’affaires, afin de préparer une recommandation d’assortiment.</t>
  </si>
  <si>
    <t>US04</t>
  </si>
  <si>
    <t>Lire la marge commerciale</t>
  </si>
  <si>
    <t>contrôleuse de gestion</t>
  </si>
  <si>
    <t>consulter la marge en valeur et le taux de marque</t>
  </si>
  <si>
    <t>apprécier la rentabilité des ventes</t>
  </si>
  <si>
    <t>Éviter de confondre volume et rentabilité.</t>
  </si>
  <si>
    <t>Sur les deux mois : CA 90 000 TND, coût 63 000 TND, marge 27 000 TND, taux de marque 30 %. Janvier : 10 800 TND et 27 %. CA nul : taux non calculable, sans division par zéro.</t>
  </si>
  <si>
    <t>Coûts disponibles ; règles de calcul à clarifier.</t>
  </si>
  <si>
    <t>Sprint 2, hypothèse</t>
  </si>
  <si>
    <t>En tant que contrôleuse de gestion, je veux consulter la marge en valeur et le taux de marque, afin de apprécier la rentabilité des ventes.</t>
  </si>
  <si>
    <t>US05</t>
  </si>
  <si>
    <t>Comparer les magasins</t>
  </si>
  <si>
    <t>comparer les magasins</t>
  </si>
  <si>
    <t>repérer les écarts de performance</t>
  </si>
  <si>
    <t>Préparer l’accompagnement des magasins.</t>
  </si>
  <si>
    <t>Sur les deux mois : N1 32 000, N2 22 000, S1 20 000, S2 16 000 TND. Filtrer Nord ne montre que N1 et N2. Le total Nord est 54 000 TND.</t>
  </si>
  <si>
    <t>US02 utile ; comparaison descriptive, sans classement causal.</t>
  </si>
  <si>
    <t>En tant que responsable régional, je veux comparer les magasins, afin de repérer les écarts de performance.</t>
  </si>
  <si>
    <t>US06</t>
  </si>
  <si>
    <t>Comparer deux périodes</t>
  </si>
  <si>
    <t>comparer février à janvier</t>
  </si>
  <si>
    <t>détecter la croissance ou le recul</t>
  </si>
  <si>
    <t>Mesurer une évolution lisible.</t>
  </si>
  <si>
    <t>50 000 contre 40 000 TND : écart +10 000 et +25 %. Les périodes comparées sont affichées. Si la période de référence vaut zéro, le pourcentage est indiqué non calculable.</t>
  </si>
  <si>
    <t>US01 ; convention de comparaison explicite.</t>
  </si>
  <si>
    <t>En tant que directeur commercial, je veux comparer février à janvier, afin de détecter la croissance ou le recul.</t>
  </si>
  <si>
    <t>US07</t>
  </si>
  <si>
    <t>Comparer les catégories</t>
  </si>
  <si>
    <t>analyser les ventes par catégorie</t>
  </si>
  <si>
    <t>ajuster les actions commerciales</t>
  </si>
  <si>
    <t>Relier résultats et portefeuille de produits.</t>
  </si>
  <si>
    <t>Sur les deux mois : Équipement (P01+P02) 73 000 TND ; Accessoires (P03) 17 000 TND. Janvier : 32 000 et 8 000 TND. Le filtre catégorie met à jour le total.</t>
  </si>
  <si>
    <t>Référentiel produits fiable.</t>
  </si>
  <si>
    <t>Non affectée initialement</t>
  </si>
  <si>
    <t>En tant que analyste métier, je veux analyser les ventes par catégorie, afin de ajuster les actions commerciales.</t>
  </si>
  <si>
    <t>US08</t>
  </si>
  <si>
    <t>Identifier les principaux clients</t>
  </si>
  <si>
    <t>voir les clients les plus contributeurs</t>
  </si>
  <si>
    <t>préparer les revues de comptes</t>
  </si>
  <si>
    <t>Concentrer les revues commerciales.</t>
  </si>
  <si>
    <t>C01 45 000, C02 28 000, C03 17 000 TND sur les deux mois. Les noms réels ne sont pas nécessaires ; seuls les codes clients autorisés apparaissent. Le filtre période s’applique.</t>
  </si>
  <si>
    <t>Codes pseudonymisés ; accès autorisé au pilote.</t>
  </si>
  <si>
    <t>En tant que directeur commercial, je veux voir les clients les plus contributeurs, afin de préparer les revues de comptes.</t>
  </si>
  <si>
    <t>US09</t>
  </si>
  <si>
    <t>Exporter une sélection</t>
  </si>
  <si>
    <t>exporter les résultats filtrés</t>
  </si>
  <si>
    <t>préparer une analyse complémentaire</t>
  </si>
  <si>
    <t>Réduire la ressaisie.</t>
  </si>
  <si>
    <t>Un export Nord contient uniquement N1 et N2 et totalise 54 000 TND sur les deux mois. La période et les filtres sont indiqués dans le fichier. Les montants restent numériques.</t>
  </si>
  <si>
    <t>Une vue filtrée exploitable existe ; support CSV ou XLSX à préciser.</t>
  </si>
  <si>
    <t>En tant que analyste métier, je veux exporter les résultats filtrés, afin de préparer une analyse complémentaire.</t>
  </si>
  <si>
    <t>US10</t>
  </si>
  <si>
    <t>Vérifier la fraîcheur des données</t>
  </si>
  <si>
    <t>voir la date et le statut du dernier chargement</t>
  </si>
  <si>
    <t>éviter une décision sur des données périmées</t>
  </si>
  <si>
    <t>Rendre la confiance et les limites visibles.</t>
  </si>
  <si>
    <t>Le scénario nominal affiche « Chargement réussi : 01/03/2026 08:00 ». Une simulation d’échec affiche « Dernier chargement échoué ; données au 28/02/2026 ». Aucun échec ne remplace les données valides par des zéros.</t>
  </si>
  <si>
    <t>Journal de chargement fictif fourni ; ne remplace pas les contrôles de qualité de la DoD.</t>
  </si>
  <si>
    <t>En tant que responsable régional, je veux voir la date et le statut du dernier chargement, afin de éviter une décision sur des données périmées.</t>
  </si>
  <si>
    <t>US11</t>
  </si>
  <si>
    <t>Consulter le dictionnaire des indicateurs</t>
  </si>
  <si>
    <t>accéder aux définitions des indicateurs</t>
  </si>
  <si>
    <t>interpréter les chiffres de façon homogène</t>
  </si>
  <si>
    <t>Limiter les interprétations contradictoires.</t>
  </si>
  <si>
    <t>Le dictionnaire indique CA net HT en TND, coût d’achat, marge = CA − coût, taux de marque = marge / CA. Il précise les périodes et l’absence de taxes. Chaque indicateur affiché renvoie à sa définition.</t>
  </si>
  <si>
    <t>Version enrichie pour utilisateurs ; la documentation minimale existe dès Sprint 1.</t>
  </si>
  <si>
    <t>En tant que contrôleuse de gestion, je veux accéder aux définitions des indicateurs, afin de interpréter les chiffres de façon homogène.</t>
  </si>
  <si>
    <t>US12</t>
  </si>
  <si>
    <t>Préparer la réunion de direction</t>
  </si>
  <si>
    <t>ouvrir une vue de synthèse dédiée</t>
  </si>
  <si>
    <t>préparer rapidement le comité commercial</t>
  </si>
  <si>
    <t>Réduire le temps de préparation et faciliter les décisions.</t>
  </si>
  <si>
    <t>La vue regroupe CA, marge et variation mensuelle sans ressaisie. Pour les deux mois : 90 000 TND, 27 000 TND et +25 % février/janvier. Les filtres et la fraîcheur des données restent visibles.</t>
  </si>
  <si>
    <t>US04 et US06 terminées ; découpage ultérieur possible.</t>
  </si>
  <si>
    <t>En tant que directeur commercial, je veux ouvrir une vue de synthèse dédiée, afin de préparer rapidement le comité commercial.</t>
  </si>
  <si>
    <t>Ordre à insertion</t>
  </si>
  <si>
    <t>Horizon</t>
  </si>
  <si>
    <t>Contrainte</t>
  </si>
  <si>
    <t>Prévision h en S3</t>
  </si>
  <si>
    <t>US13</t>
  </si>
  <si>
    <t>Mesurer l’atteinte des objectifs commerciaux</t>
  </si>
  <si>
    <t>En tant que directrice commerciale, je veux comparer le CA régional à l’objectif commercial de février, afin de cibler les actions de rattrapage.</t>
  </si>
  <si>
    <t>Aucun sprint à J4 S1 ; sélection en S3</t>
  </si>
  <si>
    <t>Nord : cible 35000, CA 30000, atteinte 85,71 %, écart -5000 ; Sud : cible 25000, CA 20000, atteinte 80 %, écart -5000 ; global 83,33 %, écart -10000 ; cible zéro : non calculable ; mois/source/version visibles</t>
  </si>
  <si>
    <t>Cibles confirmées fin S2</t>
  </si>
  <si>
    <t>Date</t>
  </si>
  <si>
    <t>Région</t>
  </si>
  <si>
    <t>Magasin</t>
  </si>
  <si>
    <t>Produit</t>
  </si>
  <si>
    <t>Client</t>
  </si>
  <si>
    <t>CA_TND</t>
  </si>
  <si>
    <t>Cout_TND</t>
  </si>
  <si>
    <t>Catégorie</t>
  </si>
  <si>
    <t>Marge_TND</t>
  </si>
  <si>
    <t>2026-01-15</t>
  </si>
  <si>
    <t>Nord</t>
  </si>
  <si>
    <t>N1</t>
  </si>
  <si>
    <t>P01</t>
  </si>
  <si>
    <t>C01</t>
  </si>
  <si>
    <t>Équipement</t>
  </si>
  <si>
    <t>P02</t>
  </si>
  <si>
    <t>C02</t>
  </si>
  <si>
    <t>P03</t>
  </si>
  <si>
    <t>C03</t>
  </si>
  <si>
    <t>Accessoires</t>
  </si>
  <si>
    <t>N2</t>
  </si>
  <si>
    <t>Sud</t>
  </si>
  <si>
    <t>S1</t>
  </si>
  <si>
    <t>S2</t>
  </si>
  <si>
    <t>2026-02-15</t>
  </si>
  <si>
    <t>Période</t>
  </si>
  <si>
    <t>Taux_marque</t>
  </si>
  <si>
    <t>2026-01</t>
  </si>
  <si>
    <t>2026-02</t>
  </si>
  <si>
    <t>Cumul</t>
  </si>
  <si>
    <t>Sprint</t>
  </si>
  <si>
    <t>Nom métier documentaire</t>
  </si>
  <si>
    <t>Début</t>
  </si>
  <si>
    <t>Dernier jour inclus</t>
  </si>
  <si>
    <t>Objectif</t>
  </si>
  <si>
    <t>Sélection réelle</t>
  </si>
  <si>
    <t>Points prévus</t>
  </si>
  <si>
    <t>Points Done</t>
  </si>
  <si>
    <t>Reste initial h</t>
  </si>
  <si>
    <t>Plafond PBI h constaté</t>
  </si>
  <si>
    <t>PBI Done</t>
  </si>
  <si>
    <t>Non Done</t>
  </si>
  <si>
    <t>Première lecture des ventes</t>
  </si>
  <si>
    <t>02/11/2026</t>
  </si>
  <si>
    <t>15/11/2026</t>
  </si>
  <si>
    <t>Lecture fiable des ventes et contributeurs</t>
  </si>
  <si>
    <t>US01, US02, US03</t>
  </si>
  <si>
    <t>Aucun</t>
  </si>
  <si>
    <t>Sprint 2</t>
  </si>
  <si>
    <t>Lecture économique</t>
  </si>
  <si>
    <t>16/11/2026</t>
  </si>
  <si>
    <t>29/11/2026</t>
  </si>
  <si>
    <t>Rentabilité et comparaison magasins/périodes</t>
  </si>
  <si>
    <t>US04, US05, US06</t>
  </si>
  <si>
    <t>US04, US05</t>
  </si>
  <si>
    <t>US06 : non conforme, reste 10 h</t>
  </si>
  <si>
    <t>Sprint 3</t>
  </si>
  <si>
    <t>Écarts explicables et confiance</t>
  </si>
  <si>
    <t>30/11/2026</t>
  </si>
  <si>
    <t>13/12/2026</t>
  </si>
  <si>
    <t>Préparer le comité avec écarts et confiance visibles</t>
  </si>
  <si>
    <t>US06, US13, US10, US11</t>
  </si>
  <si>
    <t>État</t>
  </si>
  <si>
    <t>Disponibilité totale h</t>
  </si>
  <si>
    <t>Réservation événements h</t>
  </si>
  <si>
    <t>Réservation support h</t>
  </si>
  <si>
    <t>Plafond PBI h</t>
  </si>
  <si>
    <t>Prévision initiale PBI h</t>
  </si>
  <si>
    <t>Commentaire</t>
  </si>
  <si>
    <t>Prévision initiale ; pas de conversion points/heures</t>
  </si>
  <si>
    <t>S2 initial</t>
  </si>
  <si>
    <t>Prévision avant absence imprévue</t>
  </si>
  <si>
    <t>S2 après J2</t>
  </si>
  <si>
    <t>Absence : -24 h de disponibilité ; prévision initiale conservée pour inspection</t>
  </si>
  <si>
    <t>S3</t>
  </si>
  <si>
    <t>Disponibilité annoncée réduite ; reste US06 = 10 h</t>
  </si>
  <si>
    <t>Jour</t>
  </si>
  <si>
    <t>Reste_US01_h</t>
  </si>
  <si>
    <t>Reste_US02_h</t>
  </si>
  <si>
    <t>Reste_US03_h</t>
  </si>
  <si>
    <t>Reste_total_h</t>
  </si>
  <si>
    <t>Idéal_h</t>
  </si>
  <si>
    <t>Points_terminés_cumulés</t>
  </si>
  <si>
    <t>Points_restants</t>
  </si>
  <si>
    <t>Sprint Done</t>
  </si>
  <si>
    <t>Points restants</t>
  </si>
  <si>
    <t>Auteur</t>
  </si>
  <si>
    <t>Retour fictif</t>
  </si>
  <si>
    <t>Décision</t>
  </si>
  <si>
    <t>Observation</t>
  </si>
  <si>
    <t>Amel</t>
  </si>
  <si>
    <t>Rentabilité manquante</t>
  </si>
  <si>
    <t>Maintenir US04 haute</t>
  </si>
  <si>
    <t>Moyenne 30 min</t>
  </si>
  <si>
    <t>Karim</t>
  </si>
  <si>
    <t>Comparer magasins</t>
  </si>
  <si>
    <t>Préparer US05</t>
  </si>
  <si>
    <t>Lecture région utile</t>
  </si>
  <si>
    <t>Leïla</t>
  </si>
  <si>
    <t>Contrôle manuel des données</t>
  </si>
  <si>
    <t>Contrôles précoces et US10</t>
  </si>
  <si>
    <t>Pas de preuve réelle hors simulation</t>
  </si>
  <si>
    <t>Direction</t>
  </si>
  <si>
    <t>Comparaison périodes non conforme</t>
  </si>
  <si>
    <t>US06 retourne au backlog ; priorité reconsidérée</t>
  </si>
  <si>
    <t>24 min fictives en moyenne</t>
  </si>
  <si>
    <t>Pilotes</t>
  </si>
  <si>
    <t>Écarts et définitions utiles</t>
  </si>
  <si>
    <t>Inspecter temps par utilisateur ; pas de conclusion automatique</t>
  </si>
  <si>
    <t>12/14/15/13/16 min</t>
  </si>
  <si>
    <t>Action ou observation</t>
  </si>
  <si>
    <t>Porteur</t>
  </si>
  <si>
    <t>Échéance</t>
  </si>
  <si>
    <t>Conserver</t>
  </si>
  <si>
    <t>Vérifications croisées</t>
  </si>
  <si>
    <t>Scrum Team</t>
  </si>
  <si>
    <t>Arrêter</t>
  </si>
  <si>
    <t>Découvrir tardivement les correspondances produits</t>
  </si>
  <si>
    <t>Essayer</t>
  </si>
  <si>
    <t>Contrôler référentiel et cas limites dès J1 ; inspecter à J2</t>
  </si>
  <si>
    <t>Rania et Inès, volontaires</t>
  </si>
  <si>
    <t>Reste US12 h</t>
  </si>
  <si>
    <t>Reste US09 h</t>
  </si>
  <si>
    <t>Total h</t>
  </si>
  <si>
    <t>Situation indicative du corrigé</t>
  </si>
  <si>
    <t>J0</t>
  </si>
  <si>
    <t>À faire / À faire</t>
  </si>
  <si>
    <t>J2</t>
  </si>
  <si>
    <t>US12 En cours / US09 À faire</t>
  </si>
  <si>
    <t>J4</t>
  </si>
  <si>
    <t>Deux En cours ; demande personnelle à clarifier hors Sprint</t>
  </si>
  <si>
    <t>Référence</t>
  </si>
  <si>
    <t>Source et périmètre</t>
  </si>
  <si>
    <t>[S1]</t>
  </si>
  <si>
    <t>Microsoft Support — Utiliser des tableaux de tâches dans Microsoft Project desktop : https://support.microsoft.com/fr-fr/project/use-task-boards-in-microsoft-project-online-desktop-client. Source principale pour abonnement, modèle, création/gestion de sprints, Sprint Planning Board, Current Sprint Board/Sheet, états, cartes, visibilité et rapports. Version anglaise : https://support.microsoft.com/en-us/project/use-task-boards-in-microsoft-project-online-desktop-client, utile pour les libellés non ambigus.</t>
  </si>
  <si>
    <t>[S2]</t>
  </si>
  <si>
    <t>Microsoft Learn — Update history for Microsoft 365 Apps, listed by date : https://learn.microsoft.com/en-us/officeupdates/update-history-microsoft365-apps-by-date. Confirme que l’historique concerne aussi Project desktop par abonnement et répertorie 2609 ; ne garantit pas à lui seul chaque libellé d’interface.</t>
  </si>
  <si>
    <t>[S3]</t>
  </si>
  <si>
    <t>Scrum Guides — Guide Scrum français, novembre 2020 : https://scrumguides.org/docs/scrumguide/v2020/2020-Scrum-Guide-French.pdf ; page des versions et traductions : https://scrumguides.org/download.html ; ressource Scrum.org : https://www.scrum.org/resources/scrum-guide. Référence normative du cadre, responsabilités, événements, artefacts et engagements.</t>
  </si>
  <si>
    <t>[S4]</t>
  </si>
  <si>
    <t>Scrum.org — Professional Scrum Product Owner I : https://www.scrum.org/assessments/professional-scrum-product-owner-i-certification. Domaines de compétence, modalités et liens vers Scrum Open et Product Owner Open. Ce TP n’est ni une formation officielle Scrum.org ni une banque officielle de questions.</t>
  </si>
  <si>
    <t>[S5]</t>
  </si>
  <si>
    <t>Microsoft Support — Compare Microsoft Planner basic vs. premium plans : https://support.microsoft.com/en-us/planner/compare-microsoft-planner-basic-vs-premium-plans. Distingue capacités de plans ; backlogs et sprints Premium.</t>
  </si>
  <si>
    <t>[S6]</t>
  </si>
  <si>
    <t>Microsoft Support — Frequently asked questions about Microsoft Planner : https://support.microsoft.com/en-us/planner/frequently-asked-questions-about-microsoft-planner. Situation des anciens plans Project pour le web dans Planner et licence Premium.</t>
  </si>
  <si>
    <t>[S7]</t>
  </si>
  <si>
    <t>Microsoft Support — Planifier un projet dans des sprints dans Project pour le web : https://support.microsoft.com/fr-fr/project/plan-a-project-in-sprints-in-project-for-the-web. Repère pour Tableau &gt; Regrouper par Sprint et gestion web ; ne pas assimiler son interface à Project desktop.</t>
  </si>
  <si>
    <t>[S8]</t>
  </si>
  <si>
    <t>Microsoft — Planner : plans et tarifs : https://www.microsoft.com/en/microsoft-365/planner/microsoft-planner-business-plans-and-pricing. Vérification de la distinction Premium web / offre incluant Project desktop. Les prix ne sont pas reproduits et les droits doivent être confirmés par l’administrateur.</t>
  </si>
  <si>
    <t>[S9]</t>
  </si>
  <si>
    <t>Microsoft Support — Nouveautés de Project : https://support.microsoft.com/fr-fr/project/what-s-new-in-project. Historique de fonctions Agile et de libellés plus anciens ; ne pas utiliser une rubrique historique comme capture garantie de 2609.</t>
  </si>
  <si>
    <t>Dhirar A</t>
  </si>
  <si>
    <t>Sanae A</t>
  </si>
  <si>
    <t>Haida B</t>
  </si>
  <si>
    <t>Khansa D</t>
  </si>
  <si>
    <t>Samia L</t>
  </si>
  <si>
    <t>Nicolas M</t>
  </si>
  <si>
    <t>Cheikh AS / Sami / Rania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</si>
</sst>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Sprint 1 — reste estimé (simulation)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Suivi_S1!$E$1</c:f>
              <c:strCache>
                <c:ptCount val="1"/>
                <c:pt idx="0">
                  <c:v>Reste_total_h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Suivi_S1!$A$2:$A$12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Suivi_S1!$E$2:$E$12</c:f>
              <c:numCache>
                <c:formatCode>General</c:formatCode>
                <c:ptCount val="11"/>
                <c:pt idx="0">
                  <c:v>52</c:v>
                </c:pt>
                <c:pt idx="1">
                  <c:v>49</c:v>
                </c:pt>
                <c:pt idx="2">
                  <c:v>45</c:v>
                </c:pt>
                <c:pt idx="3">
                  <c:v>48</c:v>
                </c:pt>
                <c:pt idx="4">
                  <c:v>42</c:v>
                </c:pt>
                <c:pt idx="5">
                  <c:v>31</c:v>
                </c:pt>
                <c:pt idx="6">
                  <c:v>20</c:v>
                </c:pt>
                <c:pt idx="7">
                  <c:v>15</c:v>
                </c:pt>
                <c:pt idx="8">
                  <c:v>8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EB-4AF0-9EFA-7961B95BBA91}"/>
            </c:ext>
          </c:extLst>
        </c:ser>
        <c:ser>
          <c:idx val="1"/>
          <c:order val="1"/>
          <c:tx>
            <c:strRef>
              <c:f>Suivi_S1!$F$1</c:f>
              <c:strCache>
                <c:ptCount val="1"/>
                <c:pt idx="0">
                  <c:v>Idéal_h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Suivi_S1!$A$2:$A$12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Suivi_S1!$F$2:$F$12</c:f>
              <c:numCache>
                <c:formatCode>General</c:formatCode>
                <c:ptCount val="11"/>
                <c:pt idx="0">
                  <c:v>52</c:v>
                </c:pt>
                <c:pt idx="1">
                  <c:v>46.8</c:v>
                </c:pt>
                <c:pt idx="2">
                  <c:v>41.6</c:v>
                </c:pt>
                <c:pt idx="3">
                  <c:v>36.4</c:v>
                </c:pt>
                <c:pt idx="4">
                  <c:v>31.2</c:v>
                </c:pt>
                <c:pt idx="5">
                  <c:v>26</c:v>
                </c:pt>
                <c:pt idx="6">
                  <c:v>20.8</c:v>
                </c:pt>
                <c:pt idx="7">
                  <c:v>15.6</c:v>
                </c:pt>
                <c:pt idx="8">
                  <c:v>10.4</c:v>
                </c:pt>
                <c:pt idx="9">
                  <c:v>5.1999999999999957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EB-4AF0-9EFA-7961B95BB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Jour ouvré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Heures restantes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Sprint 1 — points restants (simulation)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Suivi_S1!$H$1</c:f>
              <c:strCache>
                <c:ptCount val="1"/>
                <c:pt idx="0">
                  <c:v>Points_restants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Suivi_S1!$A$2:$A$12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Suivi_S1!$H$2:$H$12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B9-4865-B6E5-D93905981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Jour ouvré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Points restants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22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68.6328125" customWidth="1"/>
  </cols>
  <sheetData>
    <row r="1" spans="1:2" ht="32" customHeight="1" x14ac:dyDescent="0.35">
      <c r="A1" s="1" t="s">
        <v>0</v>
      </c>
      <c r="B1" s="1" t="s">
        <v>1</v>
      </c>
    </row>
    <row r="2" spans="1:2" ht="70" customHeight="1" x14ac:dyDescent="0.35">
      <c r="A2" s="2" t="s">
        <v>2</v>
      </c>
      <c r="B2" s="2" t="s">
        <v>3</v>
      </c>
    </row>
    <row r="3" spans="1:2" ht="70" customHeight="1" x14ac:dyDescent="0.35">
      <c r="A3" s="2" t="s">
        <v>4</v>
      </c>
      <c r="B3" s="2" t="s">
        <v>5</v>
      </c>
    </row>
    <row r="4" spans="1:2" ht="70" customHeight="1" x14ac:dyDescent="0.35">
      <c r="A4" s="2" t="s">
        <v>6</v>
      </c>
      <c r="B4" s="2" t="s">
        <v>7</v>
      </c>
    </row>
    <row r="5" spans="1:2" ht="70" customHeight="1" x14ac:dyDescent="0.35">
      <c r="A5" s="2" t="s">
        <v>8</v>
      </c>
      <c r="B5" s="2" t="s">
        <v>9</v>
      </c>
    </row>
    <row r="6" spans="1:2" ht="70" customHeight="1" x14ac:dyDescent="0.35">
      <c r="A6" s="2" t="s">
        <v>10</v>
      </c>
      <c r="B6" s="2" t="s">
        <v>11</v>
      </c>
    </row>
    <row r="7" spans="1:2" ht="70" customHeight="1" x14ac:dyDescent="0.35">
      <c r="A7" s="2" t="s">
        <v>12</v>
      </c>
      <c r="B7" s="2" t="s">
        <v>13</v>
      </c>
    </row>
    <row r="8" spans="1:2" ht="70" customHeight="1" x14ac:dyDescent="0.35">
      <c r="A8" s="2" t="s">
        <v>14</v>
      </c>
      <c r="B8" s="2" t="s">
        <v>15</v>
      </c>
    </row>
    <row r="9" spans="1:2" ht="70" customHeight="1" x14ac:dyDescent="0.35">
      <c r="A9" s="2" t="s">
        <v>16</v>
      </c>
      <c r="B9" s="2" t="s">
        <v>17</v>
      </c>
    </row>
    <row r="10" spans="1:2" ht="70" customHeight="1" x14ac:dyDescent="0.35">
      <c r="A10" s="2" t="s">
        <v>18</v>
      </c>
      <c r="B10" s="2" t="s">
        <v>19</v>
      </c>
    </row>
    <row r="11" spans="1:2" ht="70" customHeight="1" x14ac:dyDescent="0.35">
      <c r="A11" s="2" t="s">
        <v>20</v>
      </c>
      <c r="B11" s="2" t="s">
        <v>21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.08984375" customWidth="1"/>
    <col min="2" max="2" width="75" customWidth="1"/>
  </cols>
  <sheetData>
    <row r="1" spans="1:2" ht="32" customHeight="1" x14ac:dyDescent="0.35">
      <c r="A1" s="1" t="s">
        <v>0</v>
      </c>
      <c r="B1" s="1" t="s">
        <v>22</v>
      </c>
    </row>
    <row r="2" spans="1:2" ht="70" customHeight="1" x14ac:dyDescent="0.35">
      <c r="A2" s="2" t="s">
        <v>23</v>
      </c>
      <c r="B2" s="2" t="s">
        <v>24</v>
      </c>
    </row>
    <row r="3" spans="1:2" ht="70" customHeight="1" x14ac:dyDescent="0.35">
      <c r="A3" s="2" t="s">
        <v>25</v>
      </c>
      <c r="B3" s="2" t="s">
        <v>26</v>
      </c>
    </row>
    <row r="4" spans="1:2" ht="70" customHeight="1" x14ac:dyDescent="0.35">
      <c r="A4" s="2" t="s">
        <v>27</v>
      </c>
      <c r="B4" s="2" t="s">
        <v>28</v>
      </c>
    </row>
    <row r="5" spans="1:2" ht="70" customHeight="1" x14ac:dyDescent="0.35">
      <c r="A5" s="2" t="s">
        <v>29</v>
      </c>
      <c r="B5" s="2" t="s">
        <v>30</v>
      </c>
    </row>
    <row r="6" spans="1:2" ht="70" customHeight="1" x14ac:dyDescent="0.35">
      <c r="A6" s="2" t="s">
        <v>31</v>
      </c>
      <c r="B6" s="2" t="s">
        <v>32</v>
      </c>
    </row>
    <row r="7" spans="1:2" ht="70" customHeight="1" x14ac:dyDescent="0.35">
      <c r="A7" s="2" t="s">
        <v>33</v>
      </c>
      <c r="B7" s="2" t="s">
        <v>34</v>
      </c>
    </row>
    <row r="8" spans="1:2" ht="70" customHeight="1" x14ac:dyDescent="0.35">
      <c r="A8" s="2" t="s">
        <v>35</v>
      </c>
      <c r="B8" s="2" t="s">
        <v>36</v>
      </c>
    </row>
    <row r="9" spans="1:2" ht="70" customHeight="1" x14ac:dyDescent="0.35">
      <c r="A9" s="2" t="s">
        <v>37</v>
      </c>
      <c r="B9" s="2" t="s">
        <v>38</v>
      </c>
    </row>
  </sheetData>
  <autoFilter ref="A1:B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 activeCell="I6" sqref="I6"/>
    </sheetView>
  </sheetViews>
  <sheetFormatPr baseColWidth="10" defaultColWidth="8.7265625" defaultRowHeight="14.5" x14ac:dyDescent="0.35"/>
  <cols>
    <col min="1" max="1" width="15" customWidth="1"/>
    <col min="2" max="2" width="30.81640625" customWidth="1"/>
    <col min="3" max="3" width="34.26953125" customWidth="1"/>
  </cols>
  <sheetData>
    <row r="1" spans="1:3" ht="32" customHeight="1" x14ac:dyDescent="0.35">
      <c r="A1" s="1" t="s">
        <v>39</v>
      </c>
      <c r="B1" s="1" t="s">
        <v>40</v>
      </c>
      <c r="C1" s="1" t="s">
        <v>41</v>
      </c>
    </row>
    <row r="2" spans="1:3" ht="42" customHeight="1" x14ac:dyDescent="0.35">
      <c r="A2" s="2" t="s">
        <v>331</v>
      </c>
      <c r="B2" s="2" t="s">
        <v>42</v>
      </c>
      <c r="C2" s="2" t="s">
        <v>43</v>
      </c>
    </row>
    <row r="3" spans="1:3" ht="42" customHeight="1" x14ac:dyDescent="0.35">
      <c r="A3" s="2" t="s">
        <v>332</v>
      </c>
      <c r="B3" s="2" t="s">
        <v>44</v>
      </c>
      <c r="C3" s="2" t="s">
        <v>45</v>
      </c>
    </row>
    <row r="4" spans="1:3" ht="42" customHeight="1" x14ac:dyDescent="0.35">
      <c r="A4" s="2" t="s">
        <v>333</v>
      </c>
      <c r="B4" s="2" t="s">
        <v>46</v>
      </c>
      <c r="C4" s="2" t="s">
        <v>47</v>
      </c>
    </row>
    <row r="5" spans="1:3" ht="42" customHeight="1" x14ac:dyDescent="0.35">
      <c r="A5" s="2" t="s">
        <v>334</v>
      </c>
      <c r="B5" s="2" t="s">
        <v>48</v>
      </c>
      <c r="C5" s="2" t="s">
        <v>49</v>
      </c>
    </row>
    <row r="6" spans="1:3" ht="42" customHeight="1" x14ac:dyDescent="0.35">
      <c r="A6" s="2" t="s">
        <v>335</v>
      </c>
      <c r="B6" s="2" t="s">
        <v>50</v>
      </c>
      <c r="C6" s="2" t="s">
        <v>51</v>
      </c>
    </row>
    <row r="7" spans="1:3" ht="42" customHeight="1" x14ac:dyDescent="0.35">
      <c r="A7" s="2" t="s">
        <v>336</v>
      </c>
      <c r="B7" s="2" t="s">
        <v>52</v>
      </c>
      <c r="C7" s="2" t="s">
        <v>53</v>
      </c>
    </row>
    <row r="8" spans="1:3" ht="42" customHeight="1" x14ac:dyDescent="0.35">
      <c r="A8" s="2" t="s">
        <v>337</v>
      </c>
      <c r="B8" s="2" t="s">
        <v>54</v>
      </c>
      <c r="C8" s="2" t="s">
        <v>55</v>
      </c>
    </row>
  </sheetData>
  <autoFilter ref="A1:C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28.7265625" customWidth="1"/>
    <col min="3" max="3" width="15.36328125" customWidth="1"/>
    <col min="4" max="4" width="34.26953125" customWidth="1"/>
    <col min="5" max="5" width="32.90625" customWidth="1"/>
    <col min="6" max="6" width="41.26953125" customWidth="1"/>
    <col min="7" max="7" width="75" customWidth="1"/>
    <col min="8" max="9" width="15" customWidth="1"/>
    <col min="10" max="10" width="62.26953125" customWidth="1"/>
    <col min="11" max="11" width="17.453125" customWidth="1"/>
    <col min="12" max="12" width="75" customWidth="1"/>
  </cols>
  <sheetData>
    <row r="1" spans="1:12" ht="32" customHeight="1" x14ac:dyDescent="0.3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31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 ht="70" customHeight="1" x14ac:dyDescent="0.35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>
        <v>1</v>
      </c>
      <c r="I2" s="2">
        <v>5</v>
      </c>
      <c r="J2" s="2" t="s">
        <v>74</v>
      </c>
      <c r="K2" s="2" t="s">
        <v>75</v>
      </c>
      <c r="L2" s="2" t="s">
        <v>76</v>
      </c>
    </row>
    <row r="3" spans="1:12" ht="70" customHeight="1" x14ac:dyDescent="0.35">
      <c r="A3" s="2" t="s">
        <v>77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>
        <v>2</v>
      </c>
      <c r="I3" s="2">
        <v>3</v>
      </c>
      <c r="J3" s="2" t="s">
        <v>84</v>
      </c>
      <c r="K3" s="2" t="s">
        <v>75</v>
      </c>
      <c r="L3" s="2" t="s">
        <v>85</v>
      </c>
    </row>
    <row r="4" spans="1:12" ht="70" customHeight="1" x14ac:dyDescent="0.35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  <c r="H4" s="2">
        <v>3</v>
      </c>
      <c r="I4" s="2">
        <v>5</v>
      </c>
      <c r="J4" s="2" t="s">
        <v>93</v>
      </c>
      <c r="K4" s="2" t="s">
        <v>75</v>
      </c>
      <c r="L4" s="2" t="s">
        <v>94</v>
      </c>
    </row>
    <row r="5" spans="1:12" ht="70" customHeight="1" x14ac:dyDescent="0.35">
      <c r="A5" s="2" t="s">
        <v>95</v>
      </c>
      <c r="B5" s="2" t="s">
        <v>96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2">
        <v>4</v>
      </c>
      <c r="I5" s="2">
        <v>5</v>
      </c>
      <c r="J5" s="2" t="s">
        <v>102</v>
      </c>
      <c r="K5" s="2" t="s">
        <v>103</v>
      </c>
      <c r="L5" s="2" t="s">
        <v>104</v>
      </c>
    </row>
    <row r="6" spans="1:12" ht="70" customHeight="1" x14ac:dyDescent="0.35">
      <c r="A6" s="2" t="s">
        <v>105</v>
      </c>
      <c r="B6" s="2" t="s">
        <v>106</v>
      </c>
      <c r="C6" s="2" t="s">
        <v>79</v>
      </c>
      <c r="D6" s="2" t="s">
        <v>107</v>
      </c>
      <c r="E6" s="2" t="s">
        <v>108</v>
      </c>
      <c r="F6" s="2" t="s">
        <v>109</v>
      </c>
      <c r="G6" s="2" t="s">
        <v>110</v>
      </c>
      <c r="H6" s="2">
        <v>5</v>
      </c>
      <c r="I6" s="2">
        <v>3</v>
      </c>
      <c r="J6" s="2" t="s">
        <v>111</v>
      </c>
      <c r="K6" s="2" t="s">
        <v>103</v>
      </c>
      <c r="L6" s="2" t="s">
        <v>112</v>
      </c>
    </row>
    <row r="7" spans="1:12" ht="70" customHeight="1" x14ac:dyDescent="0.35">
      <c r="A7" s="2" t="s">
        <v>113</v>
      </c>
      <c r="B7" s="2" t="s">
        <v>114</v>
      </c>
      <c r="C7" s="2" t="s">
        <v>69</v>
      </c>
      <c r="D7" s="2" t="s">
        <v>115</v>
      </c>
      <c r="E7" s="2" t="s">
        <v>116</v>
      </c>
      <c r="F7" s="2" t="s">
        <v>117</v>
      </c>
      <c r="G7" s="2" t="s">
        <v>118</v>
      </c>
      <c r="H7" s="2">
        <v>6</v>
      </c>
      <c r="I7" s="2">
        <v>5</v>
      </c>
      <c r="J7" s="2" t="s">
        <v>119</v>
      </c>
      <c r="K7" s="2" t="s">
        <v>103</v>
      </c>
      <c r="L7" s="2" t="s">
        <v>120</v>
      </c>
    </row>
    <row r="8" spans="1:12" ht="70" customHeight="1" x14ac:dyDescent="0.35">
      <c r="A8" s="2" t="s">
        <v>121</v>
      </c>
      <c r="B8" s="2" t="s">
        <v>122</v>
      </c>
      <c r="C8" s="2" t="s">
        <v>88</v>
      </c>
      <c r="D8" s="2" t="s">
        <v>123</v>
      </c>
      <c r="E8" s="2" t="s">
        <v>124</v>
      </c>
      <c r="F8" s="2" t="s">
        <v>125</v>
      </c>
      <c r="G8" s="2" t="s">
        <v>126</v>
      </c>
      <c r="H8" s="2">
        <v>7</v>
      </c>
      <c r="I8" s="2">
        <v>3</v>
      </c>
      <c r="J8" s="2" t="s">
        <v>127</v>
      </c>
      <c r="K8" s="2" t="s">
        <v>128</v>
      </c>
      <c r="L8" s="2" t="s">
        <v>129</v>
      </c>
    </row>
    <row r="9" spans="1:12" ht="70" customHeight="1" x14ac:dyDescent="0.35">
      <c r="A9" s="2" t="s">
        <v>130</v>
      </c>
      <c r="B9" s="2" t="s">
        <v>131</v>
      </c>
      <c r="C9" s="2" t="s">
        <v>69</v>
      </c>
      <c r="D9" s="2" t="s">
        <v>132</v>
      </c>
      <c r="E9" s="2" t="s">
        <v>133</v>
      </c>
      <c r="F9" s="2" t="s">
        <v>134</v>
      </c>
      <c r="G9" s="2" t="s">
        <v>135</v>
      </c>
      <c r="H9" s="2">
        <v>8</v>
      </c>
      <c r="I9" s="2">
        <v>5</v>
      </c>
      <c r="J9" s="2" t="s">
        <v>136</v>
      </c>
      <c r="K9" s="2" t="s">
        <v>128</v>
      </c>
      <c r="L9" s="2" t="s">
        <v>137</v>
      </c>
    </row>
    <row r="10" spans="1:12" ht="70" customHeight="1" x14ac:dyDescent="0.35">
      <c r="A10" s="2" t="s">
        <v>138</v>
      </c>
      <c r="B10" s="2" t="s">
        <v>139</v>
      </c>
      <c r="C10" s="2" t="s">
        <v>88</v>
      </c>
      <c r="D10" s="2" t="s">
        <v>140</v>
      </c>
      <c r="E10" s="2" t="s">
        <v>141</v>
      </c>
      <c r="F10" s="2" t="s">
        <v>142</v>
      </c>
      <c r="G10" s="2" t="s">
        <v>143</v>
      </c>
      <c r="H10" s="2">
        <v>9</v>
      </c>
      <c r="I10" s="2">
        <v>3</v>
      </c>
      <c r="J10" s="2" t="s">
        <v>144</v>
      </c>
      <c r="K10" s="2" t="s">
        <v>128</v>
      </c>
      <c r="L10" s="2" t="s">
        <v>145</v>
      </c>
    </row>
    <row r="11" spans="1:12" ht="70" customHeight="1" x14ac:dyDescent="0.35">
      <c r="A11" s="2" t="s">
        <v>146</v>
      </c>
      <c r="B11" s="2" t="s">
        <v>147</v>
      </c>
      <c r="C11" s="2" t="s">
        <v>79</v>
      </c>
      <c r="D11" s="2" t="s">
        <v>148</v>
      </c>
      <c r="E11" s="2" t="s">
        <v>149</v>
      </c>
      <c r="F11" s="2" t="s">
        <v>150</v>
      </c>
      <c r="G11" s="2" t="s">
        <v>151</v>
      </c>
      <c r="H11" s="2">
        <v>10</v>
      </c>
      <c r="I11" s="2">
        <v>3</v>
      </c>
      <c r="J11" s="2" t="s">
        <v>152</v>
      </c>
      <c r="K11" s="2" t="s">
        <v>128</v>
      </c>
      <c r="L11" s="2" t="s">
        <v>153</v>
      </c>
    </row>
    <row r="12" spans="1:12" ht="70" customHeight="1" x14ac:dyDescent="0.35">
      <c r="A12" s="2" t="s">
        <v>154</v>
      </c>
      <c r="B12" s="2" t="s">
        <v>155</v>
      </c>
      <c r="C12" s="2" t="s">
        <v>97</v>
      </c>
      <c r="D12" s="2" t="s">
        <v>156</v>
      </c>
      <c r="E12" s="2" t="s">
        <v>157</v>
      </c>
      <c r="F12" s="2" t="s">
        <v>158</v>
      </c>
      <c r="G12" s="2" t="s">
        <v>159</v>
      </c>
      <c r="H12" s="2">
        <v>11</v>
      </c>
      <c r="I12" s="2">
        <v>2</v>
      </c>
      <c r="J12" s="2" t="s">
        <v>160</v>
      </c>
      <c r="K12" s="2" t="s">
        <v>128</v>
      </c>
      <c r="L12" s="2" t="s">
        <v>161</v>
      </c>
    </row>
    <row r="13" spans="1:12" ht="70" customHeight="1" x14ac:dyDescent="0.35">
      <c r="A13" s="2" t="s">
        <v>162</v>
      </c>
      <c r="B13" s="2" t="s">
        <v>163</v>
      </c>
      <c r="C13" s="2" t="s">
        <v>69</v>
      </c>
      <c r="D13" s="2" t="s">
        <v>164</v>
      </c>
      <c r="E13" s="2" t="s">
        <v>165</v>
      </c>
      <c r="F13" s="2" t="s">
        <v>166</v>
      </c>
      <c r="G13" s="2" t="s">
        <v>167</v>
      </c>
      <c r="H13" s="2">
        <v>12</v>
      </c>
      <c r="I13" s="2">
        <v>5</v>
      </c>
      <c r="J13" s="2" t="s">
        <v>168</v>
      </c>
      <c r="K13" s="2" t="s">
        <v>128</v>
      </c>
      <c r="L13" s="2" t="s">
        <v>169</v>
      </c>
    </row>
  </sheetData>
  <autoFilter ref="A1:L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30.81640625" customWidth="1"/>
    <col min="3" max="3" width="75" customWidth="1"/>
    <col min="4" max="5" width="15" customWidth="1"/>
    <col min="6" max="6" width="26.6328125" customWidth="1"/>
    <col min="7" max="7" width="75" customWidth="1"/>
    <col min="8" max="8" width="16.81640625" customWidth="1"/>
    <col min="9" max="9" width="15" customWidth="1"/>
  </cols>
  <sheetData>
    <row r="1" spans="1:9" ht="32" customHeight="1" x14ac:dyDescent="0.35">
      <c r="A1" s="1" t="s">
        <v>56</v>
      </c>
      <c r="B1" s="1" t="s">
        <v>57</v>
      </c>
      <c r="C1" s="1" t="s">
        <v>66</v>
      </c>
      <c r="D1" s="1" t="s">
        <v>63</v>
      </c>
      <c r="E1" s="1" t="s">
        <v>170</v>
      </c>
      <c r="F1" s="1" t="s">
        <v>171</v>
      </c>
      <c r="G1" s="1" t="s">
        <v>61</v>
      </c>
      <c r="H1" s="1" t="s">
        <v>172</v>
      </c>
      <c r="I1" s="1" t="s">
        <v>173</v>
      </c>
    </row>
    <row r="2" spans="1:9" ht="70" customHeight="1" x14ac:dyDescent="0.35">
      <c r="A2" s="2" t="s">
        <v>174</v>
      </c>
      <c r="B2" s="2" t="s">
        <v>175</v>
      </c>
      <c r="C2" s="2" t="s">
        <v>176</v>
      </c>
      <c r="D2" s="2">
        <v>3</v>
      </c>
      <c r="E2" s="2">
        <v>7</v>
      </c>
      <c r="F2" s="2" t="s">
        <v>177</v>
      </c>
      <c r="G2" s="2" t="s">
        <v>178</v>
      </c>
      <c r="H2" s="2" t="s">
        <v>179</v>
      </c>
      <c r="I2" s="2">
        <v>12</v>
      </c>
    </row>
  </sheetData>
  <autoFilter ref="A1:I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9" width="15" customWidth="1"/>
  </cols>
  <sheetData>
    <row r="1" spans="1:9" ht="32" customHeight="1" x14ac:dyDescent="0.3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 spans="1:9" ht="42" customHeight="1" x14ac:dyDescent="0.35">
      <c r="A2" s="2" t="s">
        <v>189</v>
      </c>
      <c r="B2" s="2" t="s">
        <v>190</v>
      </c>
      <c r="C2" s="2" t="s">
        <v>191</v>
      </c>
      <c r="D2" s="2" t="s">
        <v>192</v>
      </c>
      <c r="E2" s="2" t="s">
        <v>193</v>
      </c>
      <c r="F2" s="2">
        <v>7000</v>
      </c>
      <c r="G2" s="2">
        <v>4900</v>
      </c>
      <c r="H2" s="2" t="s">
        <v>194</v>
      </c>
      <c r="I2" s="2">
        <v>2100</v>
      </c>
    </row>
    <row r="3" spans="1:9" ht="42" customHeight="1" x14ac:dyDescent="0.35">
      <c r="A3" s="2" t="s">
        <v>189</v>
      </c>
      <c r="B3" s="2" t="s">
        <v>190</v>
      </c>
      <c r="C3" s="2" t="s">
        <v>191</v>
      </c>
      <c r="D3" s="2" t="s">
        <v>195</v>
      </c>
      <c r="E3" s="2" t="s">
        <v>196</v>
      </c>
      <c r="F3" s="2">
        <v>5000</v>
      </c>
      <c r="G3" s="2">
        <v>3500</v>
      </c>
      <c r="H3" s="2" t="s">
        <v>194</v>
      </c>
      <c r="I3" s="2">
        <v>1500</v>
      </c>
    </row>
    <row r="4" spans="1:9" ht="42" customHeight="1" x14ac:dyDescent="0.35">
      <c r="A4" s="2" t="s">
        <v>189</v>
      </c>
      <c r="B4" s="2" t="s">
        <v>190</v>
      </c>
      <c r="C4" s="2" t="s">
        <v>191</v>
      </c>
      <c r="D4" s="2" t="s">
        <v>197</v>
      </c>
      <c r="E4" s="2" t="s">
        <v>198</v>
      </c>
      <c r="F4" s="2">
        <v>2000</v>
      </c>
      <c r="G4" s="2">
        <v>1600</v>
      </c>
      <c r="H4" s="2" t="s">
        <v>199</v>
      </c>
      <c r="I4" s="2">
        <v>400</v>
      </c>
    </row>
    <row r="5" spans="1:9" ht="42" customHeight="1" x14ac:dyDescent="0.35">
      <c r="A5" s="2" t="s">
        <v>189</v>
      </c>
      <c r="B5" s="2" t="s">
        <v>190</v>
      </c>
      <c r="C5" s="2" t="s">
        <v>200</v>
      </c>
      <c r="D5" s="2" t="s">
        <v>192</v>
      </c>
      <c r="E5" s="2" t="s">
        <v>193</v>
      </c>
      <c r="F5" s="2">
        <v>6000</v>
      </c>
      <c r="G5" s="2">
        <v>4200</v>
      </c>
      <c r="H5" s="2" t="s">
        <v>194</v>
      </c>
      <c r="I5" s="2">
        <v>1800</v>
      </c>
    </row>
    <row r="6" spans="1:9" ht="42" customHeight="1" x14ac:dyDescent="0.35">
      <c r="A6" s="2" t="s">
        <v>189</v>
      </c>
      <c r="B6" s="2" t="s">
        <v>190</v>
      </c>
      <c r="C6" s="2" t="s">
        <v>200</v>
      </c>
      <c r="D6" s="2" t="s">
        <v>195</v>
      </c>
      <c r="E6" s="2" t="s">
        <v>196</v>
      </c>
      <c r="F6" s="2">
        <v>3000</v>
      </c>
      <c r="G6" s="2">
        <v>2100</v>
      </c>
      <c r="H6" s="2" t="s">
        <v>194</v>
      </c>
      <c r="I6" s="2">
        <v>900</v>
      </c>
    </row>
    <row r="7" spans="1:9" ht="42" customHeight="1" x14ac:dyDescent="0.35">
      <c r="A7" s="2" t="s">
        <v>189</v>
      </c>
      <c r="B7" s="2" t="s">
        <v>190</v>
      </c>
      <c r="C7" s="2" t="s">
        <v>200</v>
      </c>
      <c r="D7" s="2" t="s">
        <v>197</v>
      </c>
      <c r="E7" s="2" t="s">
        <v>198</v>
      </c>
      <c r="F7" s="2">
        <v>1000</v>
      </c>
      <c r="G7" s="2">
        <v>800</v>
      </c>
      <c r="H7" s="2" t="s">
        <v>199</v>
      </c>
      <c r="I7" s="2">
        <v>200</v>
      </c>
    </row>
    <row r="8" spans="1:9" ht="42" customHeight="1" x14ac:dyDescent="0.35">
      <c r="A8" s="2" t="s">
        <v>189</v>
      </c>
      <c r="B8" s="2" t="s">
        <v>201</v>
      </c>
      <c r="C8" s="2" t="s">
        <v>202</v>
      </c>
      <c r="D8" s="2" t="s">
        <v>192</v>
      </c>
      <c r="E8" s="2" t="s">
        <v>193</v>
      </c>
      <c r="F8" s="2">
        <v>4000</v>
      </c>
      <c r="G8" s="2">
        <v>2800</v>
      </c>
      <c r="H8" s="2" t="s">
        <v>194</v>
      </c>
      <c r="I8" s="2">
        <v>1200</v>
      </c>
    </row>
    <row r="9" spans="1:9" ht="42" customHeight="1" x14ac:dyDescent="0.35">
      <c r="A9" s="2" t="s">
        <v>189</v>
      </c>
      <c r="B9" s="2" t="s">
        <v>201</v>
      </c>
      <c r="C9" s="2" t="s">
        <v>202</v>
      </c>
      <c r="D9" s="2" t="s">
        <v>195</v>
      </c>
      <c r="E9" s="2" t="s">
        <v>196</v>
      </c>
      <c r="F9" s="2">
        <v>2000</v>
      </c>
      <c r="G9" s="2">
        <v>1400</v>
      </c>
      <c r="H9" s="2" t="s">
        <v>194</v>
      </c>
      <c r="I9" s="2">
        <v>600</v>
      </c>
    </row>
    <row r="10" spans="1:9" ht="42" customHeight="1" x14ac:dyDescent="0.35">
      <c r="A10" s="2" t="s">
        <v>189</v>
      </c>
      <c r="B10" s="2" t="s">
        <v>201</v>
      </c>
      <c r="C10" s="2" t="s">
        <v>202</v>
      </c>
      <c r="D10" s="2" t="s">
        <v>197</v>
      </c>
      <c r="E10" s="2" t="s">
        <v>198</v>
      </c>
      <c r="F10" s="2">
        <v>3000</v>
      </c>
      <c r="G10" s="2">
        <v>2400</v>
      </c>
      <c r="H10" s="2" t="s">
        <v>199</v>
      </c>
      <c r="I10" s="2">
        <v>600</v>
      </c>
    </row>
    <row r="11" spans="1:9" ht="42" customHeight="1" x14ac:dyDescent="0.35">
      <c r="A11" s="2" t="s">
        <v>189</v>
      </c>
      <c r="B11" s="2" t="s">
        <v>201</v>
      </c>
      <c r="C11" s="2" t="s">
        <v>203</v>
      </c>
      <c r="D11" s="2" t="s">
        <v>192</v>
      </c>
      <c r="E11" s="2" t="s">
        <v>193</v>
      </c>
      <c r="F11" s="2">
        <v>3000</v>
      </c>
      <c r="G11" s="2">
        <v>2100</v>
      </c>
      <c r="H11" s="2" t="s">
        <v>194</v>
      </c>
      <c r="I11" s="2">
        <v>900</v>
      </c>
    </row>
    <row r="12" spans="1:9" ht="42" customHeight="1" x14ac:dyDescent="0.35">
      <c r="A12" s="2" t="s">
        <v>189</v>
      </c>
      <c r="B12" s="2" t="s">
        <v>201</v>
      </c>
      <c r="C12" s="2" t="s">
        <v>203</v>
      </c>
      <c r="D12" s="2" t="s">
        <v>195</v>
      </c>
      <c r="E12" s="2" t="s">
        <v>196</v>
      </c>
      <c r="F12" s="2">
        <v>2000</v>
      </c>
      <c r="G12" s="2">
        <v>1400</v>
      </c>
      <c r="H12" s="2" t="s">
        <v>194</v>
      </c>
      <c r="I12" s="2">
        <v>600</v>
      </c>
    </row>
    <row r="13" spans="1:9" ht="42" customHeight="1" x14ac:dyDescent="0.35">
      <c r="A13" s="2" t="s">
        <v>189</v>
      </c>
      <c r="B13" s="2" t="s">
        <v>201</v>
      </c>
      <c r="C13" s="2" t="s">
        <v>203</v>
      </c>
      <c r="D13" s="2" t="s">
        <v>197</v>
      </c>
      <c r="E13" s="2" t="s">
        <v>198</v>
      </c>
      <c r="F13" s="2">
        <v>2000</v>
      </c>
      <c r="G13" s="2">
        <v>2000</v>
      </c>
      <c r="H13" s="2" t="s">
        <v>199</v>
      </c>
      <c r="I13" s="2">
        <v>0</v>
      </c>
    </row>
    <row r="14" spans="1:9" ht="42" customHeight="1" x14ac:dyDescent="0.35">
      <c r="A14" s="2" t="s">
        <v>204</v>
      </c>
      <c r="B14" s="2" t="s">
        <v>190</v>
      </c>
      <c r="C14" s="2" t="s">
        <v>191</v>
      </c>
      <c r="D14" s="2" t="s">
        <v>192</v>
      </c>
      <c r="E14" s="2" t="s">
        <v>193</v>
      </c>
      <c r="F14" s="2">
        <v>9000</v>
      </c>
      <c r="G14" s="2">
        <v>5850</v>
      </c>
      <c r="H14" s="2" t="s">
        <v>194</v>
      </c>
      <c r="I14" s="2">
        <v>3150</v>
      </c>
    </row>
    <row r="15" spans="1:9" ht="42" customHeight="1" x14ac:dyDescent="0.35">
      <c r="A15" s="2" t="s">
        <v>204</v>
      </c>
      <c r="B15" s="2" t="s">
        <v>190</v>
      </c>
      <c r="C15" s="2" t="s">
        <v>191</v>
      </c>
      <c r="D15" s="2" t="s">
        <v>195</v>
      </c>
      <c r="E15" s="2" t="s">
        <v>196</v>
      </c>
      <c r="F15" s="2">
        <v>6000</v>
      </c>
      <c r="G15" s="2">
        <v>3900</v>
      </c>
      <c r="H15" s="2" t="s">
        <v>194</v>
      </c>
      <c r="I15" s="2">
        <v>2100</v>
      </c>
    </row>
    <row r="16" spans="1:9" ht="42" customHeight="1" x14ac:dyDescent="0.35">
      <c r="A16" s="2" t="s">
        <v>204</v>
      </c>
      <c r="B16" s="2" t="s">
        <v>190</v>
      </c>
      <c r="C16" s="2" t="s">
        <v>191</v>
      </c>
      <c r="D16" s="2" t="s">
        <v>197</v>
      </c>
      <c r="E16" s="2" t="s">
        <v>198</v>
      </c>
      <c r="F16" s="2">
        <v>3000</v>
      </c>
      <c r="G16" s="2">
        <v>2250</v>
      </c>
      <c r="H16" s="2" t="s">
        <v>199</v>
      </c>
      <c r="I16" s="2">
        <v>750</v>
      </c>
    </row>
    <row r="17" spans="1:9" ht="42" customHeight="1" x14ac:dyDescent="0.35">
      <c r="A17" s="2" t="s">
        <v>204</v>
      </c>
      <c r="B17" s="2" t="s">
        <v>190</v>
      </c>
      <c r="C17" s="2" t="s">
        <v>200</v>
      </c>
      <c r="D17" s="2" t="s">
        <v>192</v>
      </c>
      <c r="E17" s="2" t="s">
        <v>193</v>
      </c>
      <c r="F17" s="2">
        <v>6000</v>
      </c>
      <c r="G17" s="2">
        <v>3900</v>
      </c>
      <c r="H17" s="2" t="s">
        <v>194</v>
      </c>
      <c r="I17" s="2">
        <v>2100</v>
      </c>
    </row>
    <row r="18" spans="1:9" ht="42" customHeight="1" x14ac:dyDescent="0.35">
      <c r="A18" s="2" t="s">
        <v>204</v>
      </c>
      <c r="B18" s="2" t="s">
        <v>190</v>
      </c>
      <c r="C18" s="2" t="s">
        <v>200</v>
      </c>
      <c r="D18" s="2" t="s">
        <v>195</v>
      </c>
      <c r="E18" s="2" t="s">
        <v>196</v>
      </c>
      <c r="F18" s="2">
        <v>4000</v>
      </c>
      <c r="G18" s="2">
        <v>2600</v>
      </c>
      <c r="H18" s="2" t="s">
        <v>194</v>
      </c>
      <c r="I18" s="2">
        <v>1400</v>
      </c>
    </row>
    <row r="19" spans="1:9" ht="42" customHeight="1" x14ac:dyDescent="0.35">
      <c r="A19" s="2" t="s">
        <v>204</v>
      </c>
      <c r="B19" s="2" t="s">
        <v>190</v>
      </c>
      <c r="C19" s="2" t="s">
        <v>200</v>
      </c>
      <c r="D19" s="2" t="s">
        <v>197</v>
      </c>
      <c r="E19" s="2" t="s">
        <v>198</v>
      </c>
      <c r="F19" s="2">
        <v>2000</v>
      </c>
      <c r="G19" s="2">
        <v>1500</v>
      </c>
      <c r="H19" s="2" t="s">
        <v>199</v>
      </c>
      <c r="I19" s="2">
        <v>500</v>
      </c>
    </row>
    <row r="20" spans="1:9" ht="42" customHeight="1" x14ac:dyDescent="0.35">
      <c r="A20" s="2" t="s">
        <v>204</v>
      </c>
      <c r="B20" s="2" t="s">
        <v>201</v>
      </c>
      <c r="C20" s="2" t="s">
        <v>202</v>
      </c>
      <c r="D20" s="2" t="s">
        <v>192</v>
      </c>
      <c r="E20" s="2" t="s">
        <v>193</v>
      </c>
      <c r="F20" s="2">
        <v>6000</v>
      </c>
      <c r="G20" s="2">
        <v>3900</v>
      </c>
      <c r="H20" s="2" t="s">
        <v>194</v>
      </c>
      <c r="I20" s="2">
        <v>2100</v>
      </c>
    </row>
    <row r="21" spans="1:9" ht="42" customHeight="1" x14ac:dyDescent="0.35">
      <c r="A21" s="2" t="s">
        <v>204</v>
      </c>
      <c r="B21" s="2" t="s">
        <v>201</v>
      </c>
      <c r="C21" s="2" t="s">
        <v>202</v>
      </c>
      <c r="D21" s="2" t="s">
        <v>195</v>
      </c>
      <c r="E21" s="2" t="s">
        <v>196</v>
      </c>
      <c r="F21" s="2">
        <v>3000</v>
      </c>
      <c r="G21" s="2">
        <v>1950</v>
      </c>
      <c r="H21" s="2" t="s">
        <v>194</v>
      </c>
      <c r="I21" s="2">
        <v>1050</v>
      </c>
    </row>
    <row r="22" spans="1:9" ht="42" customHeight="1" x14ac:dyDescent="0.35">
      <c r="A22" s="2" t="s">
        <v>204</v>
      </c>
      <c r="B22" s="2" t="s">
        <v>201</v>
      </c>
      <c r="C22" s="2" t="s">
        <v>202</v>
      </c>
      <c r="D22" s="2" t="s">
        <v>197</v>
      </c>
      <c r="E22" s="2" t="s">
        <v>198</v>
      </c>
      <c r="F22" s="2">
        <v>2000</v>
      </c>
      <c r="G22" s="2">
        <v>1500</v>
      </c>
      <c r="H22" s="2" t="s">
        <v>199</v>
      </c>
      <c r="I22" s="2">
        <v>500</v>
      </c>
    </row>
    <row r="23" spans="1:9" ht="42" customHeight="1" x14ac:dyDescent="0.35">
      <c r="A23" s="2" t="s">
        <v>204</v>
      </c>
      <c r="B23" s="2" t="s">
        <v>201</v>
      </c>
      <c r="C23" s="2" t="s">
        <v>203</v>
      </c>
      <c r="D23" s="2" t="s">
        <v>192</v>
      </c>
      <c r="E23" s="2" t="s">
        <v>193</v>
      </c>
      <c r="F23" s="2">
        <v>4000</v>
      </c>
      <c r="G23" s="2">
        <v>2600</v>
      </c>
      <c r="H23" s="2" t="s">
        <v>194</v>
      </c>
      <c r="I23" s="2">
        <v>1400</v>
      </c>
    </row>
    <row r="24" spans="1:9" ht="42" customHeight="1" x14ac:dyDescent="0.35">
      <c r="A24" s="2" t="s">
        <v>204</v>
      </c>
      <c r="B24" s="2" t="s">
        <v>201</v>
      </c>
      <c r="C24" s="2" t="s">
        <v>203</v>
      </c>
      <c r="D24" s="2" t="s">
        <v>195</v>
      </c>
      <c r="E24" s="2" t="s">
        <v>196</v>
      </c>
      <c r="F24" s="2">
        <v>3000</v>
      </c>
      <c r="G24" s="2">
        <v>1950</v>
      </c>
      <c r="H24" s="2" t="s">
        <v>194</v>
      </c>
      <c r="I24" s="2">
        <v>1050</v>
      </c>
    </row>
    <row r="25" spans="1:9" ht="42" customHeight="1" x14ac:dyDescent="0.35">
      <c r="A25" s="2" t="s">
        <v>204</v>
      </c>
      <c r="B25" s="2" t="s">
        <v>201</v>
      </c>
      <c r="C25" s="2" t="s">
        <v>203</v>
      </c>
      <c r="D25" s="2" t="s">
        <v>197</v>
      </c>
      <c r="E25" s="2" t="s">
        <v>198</v>
      </c>
      <c r="F25" s="2">
        <v>2000</v>
      </c>
      <c r="G25" s="2">
        <v>1900</v>
      </c>
      <c r="H25" s="2" t="s">
        <v>199</v>
      </c>
      <c r="I25" s="2">
        <v>100</v>
      </c>
    </row>
  </sheetData>
  <autoFilter ref="A1:I2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5" width="15" customWidth="1"/>
  </cols>
  <sheetData>
    <row r="1" spans="1:5" ht="32" customHeight="1" x14ac:dyDescent="0.35">
      <c r="A1" s="1" t="s">
        <v>205</v>
      </c>
      <c r="B1" s="1" t="s">
        <v>185</v>
      </c>
      <c r="C1" s="1" t="s">
        <v>186</v>
      </c>
      <c r="D1" s="1" t="s">
        <v>188</v>
      </c>
      <c r="E1" s="1" t="s">
        <v>206</v>
      </c>
    </row>
    <row r="2" spans="1:5" ht="42" customHeight="1" x14ac:dyDescent="0.35">
      <c r="A2" s="2" t="s">
        <v>207</v>
      </c>
      <c r="B2" s="2">
        <v>40000</v>
      </c>
      <c r="C2" s="2">
        <v>29200</v>
      </c>
      <c r="D2" s="2">
        <v>10800</v>
      </c>
      <c r="E2" s="2">
        <v>0.27</v>
      </c>
    </row>
    <row r="3" spans="1:5" ht="42" customHeight="1" x14ac:dyDescent="0.35">
      <c r="A3" s="2" t="s">
        <v>208</v>
      </c>
      <c r="B3" s="2">
        <v>50000</v>
      </c>
      <c r="C3" s="2">
        <v>33800</v>
      </c>
      <c r="D3" s="2">
        <v>16200</v>
      </c>
      <c r="E3" s="2">
        <v>0.32400000000000001</v>
      </c>
    </row>
    <row r="4" spans="1:5" ht="42" customHeight="1" x14ac:dyDescent="0.35">
      <c r="A4" s="2" t="s">
        <v>209</v>
      </c>
      <c r="B4" s="2">
        <v>90000</v>
      </c>
      <c r="C4" s="2">
        <v>63000</v>
      </c>
      <c r="D4" s="2">
        <v>27000</v>
      </c>
      <c r="E4" s="2">
        <v>0.3</v>
      </c>
    </row>
  </sheetData>
  <autoFilter ref="A1:E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21.7265625" customWidth="1"/>
    <col min="3" max="4" width="15" customWidth="1"/>
    <col min="5" max="5" width="36.36328125" customWidth="1"/>
    <col min="6" max="6" width="15.36328125" customWidth="1"/>
    <col min="7" max="9" width="15" customWidth="1"/>
    <col min="10" max="11" width="15.36328125" customWidth="1"/>
    <col min="12" max="12" width="21.7265625" customWidth="1"/>
  </cols>
  <sheetData>
    <row r="1" spans="1:12" ht="32" customHeight="1" x14ac:dyDescent="0.3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</row>
    <row r="2" spans="1:12" ht="42" customHeight="1" x14ac:dyDescent="0.35">
      <c r="A2" s="2" t="s">
        <v>75</v>
      </c>
      <c r="B2" s="2" t="s">
        <v>222</v>
      </c>
      <c r="C2" s="2" t="s">
        <v>223</v>
      </c>
      <c r="D2" s="2" t="s">
        <v>224</v>
      </c>
      <c r="E2" s="2" t="s">
        <v>225</v>
      </c>
      <c r="F2" s="2" t="s">
        <v>226</v>
      </c>
      <c r="G2" s="2">
        <v>13</v>
      </c>
      <c r="H2" s="2">
        <v>13</v>
      </c>
      <c r="I2" s="2">
        <v>52</v>
      </c>
      <c r="J2" s="2">
        <v>72</v>
      </c>
      <c r="K2" s="2" t="s">
        <v>226</v>
      </c>
      <c r="L2" s="2" t="s">
        <v>227</v>
      </c>
    </row>
    <row r="3" spans="1:12" ht="42" customHeight="1" x14ac:dyDescent="0.35">
      <c r="A3" s="2" t="s">
        <v>228</v>
      </c>
      <c r="B3" s="2" t="s">
        <v>229</v>
      </c>
      <c r="C3" s="2" t="s">
        <v>230</v>
      </c>
      <c r="D3" s="2" t="s">
        <v>231</v>
      </c>
      <c r="E3" s="2" t="s">
        <v>232</v>
      </c>
      <c r="F3" s="2" t="s">
        <v>233</v>
      </c>
      <c r="G3" s="2">
        <v>13</v>
      </c>
      <c r="H3" s="2">
        <v>8</v>
      </c>
      <c r="I3" s="2">
        <v>60</v>
      </c>
      <c r="J3" s="2">
        <v>48</v>
      </c>
      <c r="K3" s="2" t="s">
        <v>234</v>
      </c>
      <c r="L3" s="2" t="s">
        <v>235</v>
      </c>
    </row>
    <row r="4" spans="1:12" ht="42" customHeight="1" x14ac:dyDescent="0.35">
      <c r="A4" s="2" t="s">
        <v>236</v>
      </c>
      <c r="B4" s="2" t="s">
        <v>237</v>
      </c>
      <c r="C4" s="2" t="s">
        <v>238</v>
      </c>
      <c r="D4" s="2" t="s">
        <v>239</v>
      </c>
      <c r="E4" s="2" t="s">
        <v>240</v>
      </c>
      <c r="F4" s="2" t="s">
        <v>241</v>
      </c>
      <c r="G4" s="2">
        <v>13</v>
      </c>
      <c r="H4" s="2">
        <v>13</v>
      </c>
      <c r="I4" s="2">
        <v>42</v>
      </c>
      <c r="J4" s="2">
        <v>48</v>
      </c>
      <c r="K4" s="2" t="s">
        <v>241</v>
      </c>
      <c r="L4" s="2" t="s">
        <v>227</v>
      </c>
    </row>
  </sheetData>
  <autoFilter ref="A1:L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15.36328125" customWidth="1"/>
    <col min="3" max="3" width="16.81640625" customWidth="1"/>
    <col min="4" max="5" width="15" customWidth="1"/>
    <col min="6" max="6" width="16.81640625" customWidth="1"/>
    <col min="7" max="7" width="55.26953125" customWidth="1"/>
  </cols>
  <sheetData>
    <row r="1" spans="1:7" ht="32" customHeight="1" x14ac:dyDescent="0.35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</row>
    <row r="2" spans="1:7" ht="42" customHeight="1" x14ac:dyDescent="0.35">
      <c r="A2" s="2" t="s">
        <v>202</v>
      </c>
      <c r="B2" s="2">
        <v>180</v>
      </c>
      <c r="C2" s="2">
        <v>36</v>
      </c>
      <c r="D2" s="2">
        <v>72</v>
      </c>
      <c r="E2" s="2">
        <v>72</v>
      </c>
      <c r="F2" s="2">
        <v>52</v>
      </c>
      <c r="G2" s="2" t="s">
        <v>249</v>
      </c>
    </row>
    <row r="3" spans="1:7" ht="42" customHeight="1" x14ac:dyDescent="0.35">
      <c r="A3" s="2" t="s">
        <v>250</v>
      </c>
      <c r="B3" s="2">
        <v>180</v>
      </c>
      <c r="C3" s="2">
        <v>36</v>
      </c>
      <c r="D3" s="2">
        <v>72</v>
      </c>
      <c r="E3" s="2">
        <v>72</v>
      </c>
      <c r="F3" s="2">
        <v>60</v>
      </c>
      <c r="G3" s="2" t="s">
        <v>251</v>
      </c>
    </row>
    <row r="4" spans="1:7" ht="42" customHeight="1" x14ac:dyDescent="0.35">
      <c r="A4" s="2" t="s">
        <v>252</v>
      </c>
      <c r="B4" s="2">
        <v>156</v>
      </c>
      <c r="C4" s="2">
        <v>36</v>
      </c>
      <c r="D4" s="2">
        <v>72</v>
      </c>
      <c r="E4" s="2">
        <v>48</v>
      </c>
      <c r="F4" s="2">
        <v>60</v>
      </c>
      <c r="G4" s="2" t="s">
        <v>253</v>
      </c>
    </row>
    <row r="5" spans="1:7" ht="42" customHeight="1" x14ac:dyDescent="0.35">
      <c r="A5" s="2" t="s">
        <v>254</v>
      </c>
      <c r="B5" s="2">
        <v>156</v>
      </c>
      <c r="C5" s="2">
        <v>36</v>
      </c>
      <c r="D5" s="2">
        <v>72</v>
      </c>
      <c r="E5" s="2">
        <v>48</v>
      </c>
      <c r="F5" s="2">
        <v>42</v>
      </c>
      <c r="G5" s="2" t="s">
        <v>255</v>
      </c>
    </row>
  </sheetData>
  <autoFilter ref="A1:G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6" width="15" customWidth="1"/>
    <col min="7" max="7" width="16.08984375" customWidth="1"/>
    <col min="8" max="8" width="15" customWidth="1"/>
  </cols>
  <sheetData>
    <row r="1" spans="1:8" ht="32" customHeight="1" x14ac:dyDescent="0.35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</row>
    <row r="2" spans="1:8" ht="42" customHeight="1" x14ac:dyDescent="0.35">
      <c r="A2" s="2">
        <v>0</v>
      </c>
      <c r="B2" s="2">
        <v>20</v>
      </c>
      <c r="C2" s="2">
        <v>12</v>
      </c>
      <c r="D2" s="2">
        <v>20</v>
      </c>
      <c r="E2" s="2">
        <v>52</v>
      </c>
      <c r="F2" s="2">
        <v>52</v>
      </c>
      <c r="G2" s="2">
        <v>0</v>
      </c>
      <c r="H2" s="2">
        <v>13</v>
      </c>
    </row>
    <row r="3" spans="1:8" ht="42" customHeight="1" x14ac:dyDescent="0.35">
      <c r="A3" s="2">
        <v>1</v>
      </c>
      <c r="B3" s="2">
        <v>18</v>
      </c>
      <c r="C3" s="2">
        <v>12</v>
      </c>
      <c r="D3" s="2">
        <v>19</v>
      </c>
      <c r="E3" s="2">
        <v>49</v>
      </c>
      <c r="F3" s="2">
        <v>46.8</v>
      </c>
      <c r="G3" s="2">
        <v>0</v>
      </c>
      <c r="H3" s="2">
        <v>13</v>
      </c>
    </row>
    <row r="4" spans="1:8" ht="42" customHeight="1" x14ac:dyDescent="0.35">
      <c r="A4" s="2">
        <v>2</v>
      </c>
      <c r="B4" s="2">
        <v>14</v>
      </c>
      <c r="C4" s="2">
        <v>12</v>
      </c>
      <c r="D4" s="2">
        <v>19</v>
      </c>
      <c r="E4" s="2">
        <v>45</v>
      </c>
      <c r="F4" s="2">
        <v>41.6</v>
      </c>
      <c r="G4" s="2">
        <v>0</v>
      </c>
      <c r="H4" s="2">
        <v>13</v>
      </c>
    </row>
    <row r="5" spans="1:8" ht="42" customHeight="1" x14ac:dyDescent="0.35">
      <c r="A5" s="2">
        <v>3</v>
      </c>
      <c r="B5" s="2">
        <v>15</v>
      </c>
      <c r="C5" s="2">
        <v>12</v>
      </c>
      <c r="D5" s="2">
        <v>21</v>
      </c>
      <c r="E5" s="2">
        <v>48</v>
      </c>
      <c r="F5" s="2">
        <v>36.4</v>
      </c>
      <c r="G5" s="2">
        <v>0</v>
      </c>
      <c r="H5" s="2">
        <v>13</v>
      </c>
    </row>
    <row r="6" spans="1:8" ht="42" customHeight="1" x14ac:dyDescent="0.35">
      <c r="A6" s="2">
        <v>4</v>
      </c>
      <c r="B6" s="2">
        <v>11</v>
      </c>
      <c r="C6" s="2">
        <v>10</v>
      </c>
      <c r="D6" s="2">
        <v>21</v>
      </c>
      <c r="E6" s="2">
        <v>42</v>
      </c>
      <c r="F6" s="2">
        <v>31.2</v>
      </c>
      <c r="G6" s="2">
        <v>0</v>
      </c>
      <c r="H6" s="2">
        <v>13</v>
      </c>
    </row>
    <row r="7" spans="1:8" ht="42" customHeight="1" x14ac:dyDescent="0.35">
      <c r="A7" s="2">
        <v>5</v>
      </c>
      <c r="B7" s="2">
        <v>6</v>
      </c>
      <c r="C7" s="2">
        <v>7</v>
      </c>
      <c r="D7" s="2">
        <v>18</v>
      </c>
      <c r="E7" s="2">
        <v>31</v>
      </c>
      <c r="F7" s="2">
        <v>26</v>
      </c>
      <c r="G7" s="2">
        <v>0</v>
      </c>
      <c r="H7" s="2">
        <v>13</v>
      </c>
    </row>
    <row r="8" spans="1:8" ht="42" customHeight="1" x14ac:dyDescent="0.35">
      <c r="A8" s="2">
        <v>6</v>
      </c>
      <c r="B8" s="2">
        <v>0</v>
      </c>
      <c r="C8" s="2">
        <v>5</v>
      </c>
      <c r="D8" s="2">
        <v>15</v>
      </c>
      <c r="E8" s="2">
        <v>20</v>
      </c>
      <c r="F8" s="2">
        <v>20.8</v>
      </c>
      <c r="G8" s="2">
        <v>5</v>
      </c>
      <c r="H8" s="2">
        <v>8</v>
      </c>
    </row>
    <row r="9" spans="1:8" ht="42" customHeight="1" x14ac:dyDescent="0.35">
      <c r="A9" s="2">
        <v>7</v>
      </c>
      <c r="B9" s="2">
        <v>0</v>
      </c>
      <c r="C9" s="2">
        <v>2</v>
      </c>
      <c r="D9" s="2">
        <v>13</v>
      </c>
      <c r="E9" s="2">
        <v>15</v>
      </c>
      <c r="F9" s="2">
        <v>15.6</v>
      </c>
      <c r="G9" s="2">
        <v>5</v>
      </c>
      <c r="H9" s="2">
        <v>8</v>
      </c>
    </row>
    <row r="10" spans="1:8" ht="42" customHeight="1" x14ac:dyDescent="0.35">
      <c r="A10" s="2">
        <v>8</v>
      </c>
      <c r="B10" s="2">
        <v>0</v>
      </c>
      <c r="C10" s="2">
        <v>0</v>
      </c>
      <c r="D10" s="2">
        <v>8</v>
      </c>
      <c r="E10" s="2">
        <v>8</v>
      </c>
      <c r="F10" s="2">
        <v>10.4</v>
      </c>
      <c r="G10" s="2">
        <v>8</v>
      </c>
      <c r="H10" s="2">
        <v>5</v>
      </c>
    </row>
    <row r="11" spans="1:8" ht="42" customHeight="1" x14ac:dyDescent="0.35">
      <c r="A11" s="2">
        <v>9</v>
      </c>
      <c r="B11" s="2">
        <v>0</v>
      </c>
      <c r="C11" s="2">
        <v>0</v>
      </c>
      <c r="D11" s="2">
        <v>3</v>
      </c>
      <c r="E11" s="2">
        <v>3</v>
      </c>
      <c r="F11" s="2">
        <v>5.1999999999999957</v>
      </c>
      <c r="G11" s="2">
        <v>8</v>
      </c>
      <c r="H11" s="2">
        <v>5</v>
      </c>
    </row>
    <row r="12" spans="1:8" ht="42" customHeight="1" x14ac:dyDescent="0.35">
      <c r="A12" s="2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13</v>
      </c>
      <c r="H12" s="2">
        <v>0</v>
      </c>
    </row>
  </sheetData>
  <autoFilter ref="A1:H12" xr:uid="{00000000-0009-0000-0000-000009000000}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30.81640625" customWidth="1"/>
    <col min="3" max="6" width="15" customWidth="1"/>
  </cols>
  <sheetData>
    <row r="1" spans="1:6" ht="32" customHeight="1" x14ac:dyDescent="0.35">
      <c r="A1" s="1" t="s">
        <v>56</v>
      </c>
      <c r="B1" s="1" t="s">
        <v>57</v>
      </c>
      <c r="C1" s="1" t="s">
        <v>63</v>
      </c>
      <c r="D1" s="1" t="s">
        <v>264</v>
      </c>
      <c r="E1" s="1" t="s">
        <v>217</v>
      </c>
      <c r="F1" s="1" t="s">
        <v>265</v>
      </c>
    </row>
    <row r="2" spans="1:6" ht="42" customHeight="1" x14ac:dyDescent="0.35">
      <c r="A2" s="2" t="s">
        <v>67</v>
      </c>
      <c r="B2" s="2" t="s">
        <v>68</v>
      </c>
      <c r="C2" s="2">
        <v>5</v>
      </c>
      <c r="D2" s="2" t="s">
        <v>202</v>
      </c>
      <c r="E2" s="2">
        <v>5</v>
      </c>
      <c r="F2" s="2">
        <v>0</v>
      </c>
    </row>
    <row r="3" spans="1:6" ht="42" customHeight="1" x14ac:dyDescent="0.35">
      <c r="A3" s="2" t="s">
        <v>77</v>
      </c>
      <c r="B3" s="2" t="s">
        <v>78</v>
      </c>
      <c r="C3" s="2">
        <v>3</v>
      </c>
      <c r="D3" s="2" t="s">
        <v>202</v>
      </c>
      <c r="E3" s="2">
        <v>3</v>
      </c>
      <c r="F3" s="2">
        <v>0</v>
      </c>
    </row>
    <row r="4" spans="1:6" ht="42" customHeight="1" x14ac:dyDescent="0.35">
      <c r="A4" s="2" t="s">
        <v>86</v>
      </c>
      <c r="B4" s="2" t="s">
        <v>87</v>
      </c>
      <c r="C4" s="2">
        <v>5</v>
      </c>
      <c r="D4" s="2" t="s">
        <v>202</v>
      </c>
      <c r="E4" s="2">
        <v>5</v>
      </c>
      <c r="F4" s="2">
        <v>0</v>
      </c>
    </row>
    <row r="5" spans="1:6" ht="42" customHeight="1" x14ac:dyDescent="0.35">
      <c r="A5" s="2" t="s">
        <v>95</v>
      </c>
      <c r="B5" s="2" t="s">
        <v>96</v>
      </c>
      <c r="C5" s="2">
        <v>5</v>
      </c>
      <c r="D5" s="2" t="s">
        <v>203</v>
      </c>
      <c r="E5" s="2">
        <v>5</v>
      </c>
      <c r="F5" s="2">
        <v>0</v>
      </c>
    </row>
    <row r="6" spans="1:6" ht="42" customHeight="1" x14ac:dyDescent="0.35">
      <c r="A6" s="2" t="s">
        <v>105</v>
      </c>
      <c r="B6" s="2" t="s">
        <v>106</v>
      </c>
      <c r="C6" s="2">
        <v>3</v>
      </c>
      <c r="D6" s="2" t="s">
        <v>203</v>
      </c>
      <c r="E6" s="2">
        <v>3</v>
      </c>
      <c r="F6" s="2">
        <v>0</v>
      </c>
    </row>
    <row r="7" spans="1:6" ht="42" customHeight="1" x14ac:dyDescent="0.35">
      <c r="A7" s="2" t="s">
        <v>113</v>
      </c>
      <c r="B7" s="2" t="s">
        <v>114</v>
      </c>
      <c r="C7" s="2">
        <v>5</v>
      </c>
      <c r="D7" s="2" t="s">
        <v>254</v>
      </c>
      <c r="E7" s="2">
        <v>5</v>
      </c>
      <c r="F7" s="2">
        <v>0</v>
      </c>
    </row>
    <row r="8" spans="1:6" ht="42" customHeight="1" x14ac:dyDescent="0.35">
      <c r="A8" s="2" t="s">
        <v>121</v>
      </c>
      <c r="B8" s="2" t="s">
        <v>122</v>
      </c>
      <c r="C8" s="2">
        <v>3</v>
      </c>
      <c r="D8" s="2" t="s">
        <v>221</v>
      </c>
      <c r="E8" s="2">
        <v>0</v>
      </c>
      <c r="F8" s="2">
        <v>3</v>
      </c>
    </row>
    <row r="9" spans="1:6" ht="42" customHeight="1" x14ac:dyDescent="0.35">
      <c r="A9" s="2" t="s">
        <v>130</v>
      </c>
      <c r="B9" s="2" t="s">
        <v>131</v>
      </c>
      <c r="C9" s="2">
        <v>5</v>
      </c>
      <c r="D9" s="2" t="s">
        <v>221</v>
      </c>
      <c r="E9" s="2">
        <v>0</v>
      </c>
      <c r="F9" s="2">
        <v>5</v>
      </c>
    </row>
    <row r="10" spans="1:6" ht="42" customHeight="1" x14ac:dyDescent="0.35">
      <c r="A10" s="2" t="s">
        <v>138</v>
      </c>
      <c r="B10" s="2" t="s">
        <v>139</v>
      </c>
      <c r="C10" s="2">
        <v>3</v>
      </c>
      <c r="D10" s="2" t="s">
        <v>221</v>
      </c>
      <c r="E10" s="2">
        <v>0</v>
      </c>
      <c r="F10" s="2">
        <v>3</v>
      </c>
    </row>
    <row r="11" spans="1:6" ht="42" customHeight="1" x14ac:dyDescent="0.35">
      <c r="A11" s="2" t="s">
        <v>146</v>
      </c>
      <c r="B11" s="2" t="s">
        <v>147</v>
      </c>
      <c r="C11" s="2">
        <v>3</v>
      </c>
      <c r="D11" s="2" t="s">
        <v>254</v>
      </c>
      <c r="E11" s="2">
        <v>3</v>
      </c>
      <c r="F11" s="2">
        <v>0</v>
      </c>
    </row>
    <row r="12" spans="1:6" ht="42" customHeight="1" x14ac:dyDescent="0.35">
      <c r="A12" s="2" t="s">
        <v>154</v>
      </c>
      <c r="B12" s="2" t="s">
        <v>155</v>
      </c>
      <c r="C12" s="2">
        <v>2</v>
      </c>
      <c r="D12" s="2" t="s">
        <v>254</v>
      </c>
      <c r="E12" s="2">
        <v>2</v>
      </c>
      <c r="F12" s="2">
        <v>0</v>
      </c>
    </row>
    <row r="13" spans="1:6" ht="42" customHeight="1" x14ac:dyDescent="0.35">
      <c r="A13" s="2" t="s">
        <v>162</v>
      </c>
      <c r="B13" s="2" t="s">
        <v>163</v>
      </c>
      <c r="C13" s="2">
        <v>5</v>
      </c>
      <c r="D13" s="2" t="s">
        <v>221</v>
      </c>
      <c r="E13" s="2">
        <v>0</v>
      </c>
      <c r="F13" s="2">
        <v>5</v>
      </c>
    </row>
    <row r="14" spans="1:6" ht="42" customHeight="1" x14ac:dyDescent="0.35">
      <c r="A14" s="2" t="s">
        <v>174</v>
      </c>
      <c r="B14" s="2" t="s">
        <v>175</v>
      </c>
      <c r="C14" s="2">
        <v>3</v>
      </c>
      <c r="D14" s="2" t="s">
        <v>254</v>
      </c>
      <c r="E14" s="2">
        <v>3</v>
      </c>
      <c r="F14" s="2">
        <v>0</v>
      </c>
    </row>
  </sheetData>
  <autoFilter ref="A1:F1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5" customWidth="1"/>
    <col min="3" max="3" width="23.08984375" customWidth="1"/>
    <col min="4" max="4" width="44.08984375" customWidth="1"/>
    <col min="5" max="5" width="25.1796875" customWidth="1"/>
  </cols>
  <sheetData>
    <row r="1" spans="1:5" ht="32" customHeight="1" x14ac:dyDescent="0.35">
      <c r="A1" s="1" t="s">
        <v>210</v>
      </c>
      <c r="B1" s="1" t="s">
        <v>266</v>
      </c>
      <c r="C1" s="1" t="s">
        <v>267</v>
      </c>
      <c r="D1" s="1" t="s">
        <v>268</v>
      </c>
      <c r="E1" s="1" t="s">
        <v>269</v>
      </c>
    </row>
    <row r="2" spans="1:5" ht="42" customHeight="1" x14ac:dyDescent="0.35">
      <c r="A2" s="2" t="s">
        <v>202</v>
      </c>
      <c r="B2" s="2" t="s">
        <v>270</v>
      </c>
      <c r="C2" s="2" t="s">
        <v>271</v>
      </c>
      <c r="D2" s="2" t="s">
        <v>272</v>
      </c>
      <c r="E2" s="2" t="s">
        <v>273</v>
      </c>
    </row>
    <row r="3" spans="1:5" ht="42" customHeight="1" x14ac:dyDescent="0.35">
      <c r="A3" s="2" t="s">
        <v>202</v>
      </c>
      <c r="B3" s="2" t="s">
        <v>274</v>
      </c>
      <c r="C3" s="2" t="s">
        <v>275</v>
      </c>
      <c r="D3" s="2" t="s">
        <v>276</v>
      </c>
      <c r="E3" s="2" t="s">
        <v>277</v>
      </c>
    </row>
    <row r="4" spans="1:5" ht="42" customHeight="1" x14ac:dyDescent="0.35">
      <c r="A4" s="2" t="s">
        <v>202</v>
      </c>
      <c r="B4" s="2" t="s">
        <v>278</v>
      </c>
      <c r="C4" s="2" t="s">
        <v>279</v>
      </c>
      <c r="D4" s="2" t="s">
        <v>280</v>
      </c>
      <c r="E4" s="2" t="s">
        <v>281</v>
      </c>
    </row>
    <row r="5" spans="1:5" ht="42" customHeight="1" x14ac:dyDescent="0.35">
      <c r="A5" s="2" t="s">
        <v>203</v>
      </c>
      <c r="B5" s="2" t="s">
        <v>282</v>
      </c>
      <c r="C5" s="2" t="s">
        <v>283</v>
      </c>
      <c r="D5" s="2" t="s">
        <v>284</v>
      </c>
      <c r="E5" s="2" t="s">
        <v>285</v>
      </c>
    </row>
    <row r="6" spans="1:5" ht="42" customHeight="1" x14ac:dyDescent="0.35">
      <c r="A6" s="2" t="s">
        <v>254</v>
      </c>
      <c r="B6" s="2" t="s">
        <v>286</v>
      </c>
      <c r="C6" s="2" t="s">
        <v>287</v>
      </c>
      <c r="D6" s="2" t="s">
        <v>288</v>
      </c>
      <c r="E6" s="2" t="s">
        <v>289</v>
      </c>
    </row>
  </sheetData>
  <autoFilter ref="A1:E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42" customWidth="1"/>
    <col min="3" max="3" width="18.1796875" customWidth="1"/>
    <col min="4" max="4" width="15" customWidth="1"/>
  </cols>
  <sheetData>
    <row r="1" spans="1:4" ht="32" customHeight="1" x14ac:dyDescent="0.35">
      <c r="A1" s="1" t="s">
        <v>187</v>
      </c>
      <c r="B1" s="1" t="s">
        <v>290</v>
      </c>
      <c r="C1" s="1" t="s">
        <v>291</v>
      </c>
      <c r="D1" s="1" t="s">
        <v>292</v>
      </c>
    </row>
    <row r="2" spans="1:4" ht="42" customHeight="1" x14ac:dyDescent="0.35">
      <c r="A2" s="2" t="s">
        <v>293</v>
      </c>
      <c r="B2" s="2" t="s">
        <v>294</v>
      </c>
      <c r="C2" s="2" t="s">
        <v>295</v>
      </c>
      <c r="D2" s="2" t="s">
        <v>203</v>
      </c>
    </row>
    <row r="3" spans="1:4" ht="42" customHeight="1" x14ac:dyDescent="0.35">
      <c r="A3" s="2" t="s">
        <v>296</v>
      </c>
      <c r="B3" s="2" t="s">
        <v>297</v>
      </c>
      <c r="C3" s="2" t="s">
        <v>295</v>
      </c>
      <c r="D3" s="2" t="s">
        <v>203</v>
      </c>
    </row>
    <row r="4" spans="1:4" ht="42" customHeight="1" x14ac:dyDescent="0.35">
      <c r="A4" s="2" t="s">
        <v>298</v>
      </c>
      <c r="B4" s="2" t="s">
        <v>299</v>
      </c>
      <c r="C4" s="2" t="s">
        <v>300</v>
      </c>
      <c r="D4" s="2" t="s">
        <v>203</v>
      </c>
    </row>
  </sheetData>
  <autoFilter ref="A1:D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5" width="15" customWidth="1"/>
    <col min="6" max="6" width="41.26953125" customWidth="1"/>
  </cols>
  <sheetData>
    <row r="1" spans="1:6" ht="32" customHeight="1" x14ac:dyDescent="0.35">
      <c r="A1" s="1" t="s">
        <v>256</v>
      </c>
      <c r="B1" s="1" t="s">
        <v>301</v>
      </c>
      <c r="C1" s="1" t="s">
        <v>302</v>
      </c>
      <c r="D1" s="1" t="s">
        <v>303</v>
      </c>
      <c r="E1" s="1" t="s">
        <v>217</v>
      </c>
      <c r="F1" s="1" t="s">
        <v>304</v>
      </c>
    </row>
    <row r="2" spans="1:6" ht="42" customHeight="1" x14ac:dyDescent="0.35">
      <c r="A2" s="2" t="s">
        <v>305</v>
      </c>
      <c r="B2" s="2">
        <v>24</v>
      </c>
      <c r="C2" s="2">
        <v>12</v>
      </c>
      <c r="D2" s="2">
        <v>36</v>
      </c>
      <c r="E2" s="2">
        <v>0</v>
      </c>
      <c r="F2" s="2" t="s">
        <v>306</v>
      </c>
    </row>
    <row r="3" spans="1:6" ht="42" customHeight="1" x14ac:dyDescent="0.35">
      <c r="A3" s="2" t="s">
        <v>307</v>
      </c>
      <c r="B3" s="2">
        <v>18</v>
      </c>
      <c r="C3" s="2">
        <v>12</v>
      </c>
      <c r="D3" s="2">
        <v>30</v>
      </c>
      <c r="E3" s="2">
        <v>0</v>
      </c>
      <c r="F3" s="2" t="s">
        <v>308</v>
      </c>
    </row>
    <row r="4" spans="1:6" ht="42" customHeight="1" x14ac:dyDescent="0.35">
      <c r="A4" s="2" t="s">
        <v>309</v>
      </c>
      <c r="B4" s="2">
        <v>12</v>
      </c>
      <c r="C4" s="2">
        <v>10</v>
      </c>
      <c r="D4" s="2">
        <v>22</v>
      </c>
      <c r="E4" s="2">
        <v>0</v>
      </c>
      <c r="F4" s="2" t="s">
        <v>310</v>
      </c>
    </row>
  </sheetData>
  <autoFilter ref="A1:F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75" customWidth="1"/>
  </cols>
  <sheetData>
    <row r="1" spans="1:2" ht="32" customHeight="1" x14ac:dyDescent="0.35">
      <c r="A1" s="1" t="s">
        <v>311</v>
      </c>
      <c r="B1" s="1" t="s">
        <v>312</v>
      </c>
    </row>
    <row r="2" spans="1:2" ht="70" customHeight="1" x14ac:dyDescent="0.35">
      <c r="A2" s="2" t="s">
        <v>313</v>
      </c>
      <c r="B2" s="2" t="s">
        <v>314</v>
      </c>
    </row>
    <row r="3" spans="1:2" ht="70" customHeight="1" x14ac:dyDescent="0.35">
      <c r="A3" s="2" t="s">
        <v>315</v>
      </c>
      <c r="B3" s="2" t="s">
        <v>316</v>
      </c>
    </row>
    <row r="4" spans="1:2" ht="70" customHeight="1" x14ac:dyDescent="0.35">
      <c r="A4" s="2" t="s">
        <v>317</v>
      </c>
      <c r="B4" s="2" t="s">
        <v>318</v>
      </c>
    </row>
    <row r="5" spans="1:2" ht="70" customHeight="1" x14ac:dyDescent="0.35">
      <c r="A5" s="2" t="s">
        <v>319</v>
      </c>
      <c r="B5" s="2" t="s">
        <v>320</v>
      </c>
    </row>
    <row r="6" spans="1:2" ht="70" customHeight="1" x14ac:dyDescent="0.35">
      <c r="A6" s="2" t="s">
        <v>321</v>
      </c>
      <c r="B6" s="2" t="s">
        <v>322</v>
      </c>
    </row>
    <row r="7" spans="1:2" ht="70" customHeight="1" x14ac:dyDescent="0.35">
      <c r="A7" s="2" t="s">
        <v>323</v>
      </c>
      <c r="B7" s="2" t="s">
        <v>324</v>
      </c>
    </row>
    <row r="8" spans="1:2" ht="70" customHeight="1" x14ac:dyDescent="0.35">
      <c r="A8" s="2" t="s">
        <v>325</v>
      </c>
      <c r="B8" s="2" t="s">
        <v>326</v>
      </c>
    </row>
    <row r="9" spans="1:2" ht="70" customHeight="1" x14ac:dyDescent="0.35">
      <c r="A9" s="2" t="s">
        <v>327</v>
      </c>
      <c r="B9" s="2" t="s">
        <v>328</v>
      </c>
    </row>
    <row r="10" spans="1:2" ht="70" customHeight="1" x14ac:dyDescent="0.35">
      <c r="A10" s="2" t="s">
        <v>329</v>
      </c>
      <c r="B10" s="2" t="s">
        <v>330</v>
      </c>
    </row>
  </sheetData>
  <autoFilter ref="A1:B10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Lire_avant</vt:lpstr>
      <vt:lpstr>Produit</vt:lpstr>
      <vt:lpstr>Personnes</vt:lpstr>
      <vt:lpstr>Backlog_initial</vt:lpstr>
      <vt:lpstr>US13_urgence</vt:lpstr>
      <vt:lpstr>Ventes_fictives</vt:lpstr>
      <vt:lpstr>Resultats_BI</vt:lpstr>
      <vt:lpstr>Sprints</vt:lpstr>
      <vt:lpstr>Capacite</vt:lpstr>
      <vt:lpstr>Suivi_S1</vt:lpstr>
      <vt:lpstr>Bilan_final</vt:lpstr>
      <vt:lpstr>Review</vt:lpstr>
      <vt:lpstr>Retrospective</vt:lpstr>
      <vt:lpstr>Synthese_corrige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pricipal trainer</cp:lastModifiedBy>
  <dcterms:created xsi:type="dcterms:W3CDTF">2026-10-22T10:16:17Z</dcterms:created>
  <dcterms:modified xsi:type="dcterms:W3CDTF">2026-10-22T13:55:27Z</dcterms:modified>
</cp:coreProperties>
</file>